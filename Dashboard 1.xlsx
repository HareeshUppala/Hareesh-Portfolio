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463198D-9D9B-4124-B0EC-BD27B47242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" r:id="rId1"/>
    <sheet name="Class" sheetId="2" r:id="rId2"/>
  </sheets>
  <definedNames>
    <definedName name="_xlnm._FilterDatabase" localSheetId="1" hidden="1">Class!$A$20:$I$110</definedName>
  </definedNames>
  <calcPr calcId="191029"/>
</workbook>
</file>

<file path=xl/calcChain.xml><?xml version="1.0" encoding="utf-8"?>
<calcChain xmlns="http://schemas.openxmlformats.org/spreadsheetml/2006/main">
  <c r="T4" i="3" l="1"/>
  <c r="P4" i="3"/>
  <c r="E4" i="3"/>
  <c r="A4" i="3"/>
  <c r="I101" i="2"/>
  <c r="L20" i="2"/>
  <c r="K23" i="2" a="1"/>
  <c r="K107" i="2" s="1"/>
  <c r="M23" i="2" a="1"/>
  <c r="M31" i="2" s="1"/>
  <c r="O23" i="2" a="1"/>
  <c r="O31" i="2" s="1"/>
  <c r="K104" i="2"/>
  <c r="I110" i="2"/>
  <c r="I109" i="2"/>
  <c r="I108" i="2"/>
  <c r="I107" i="2"/>
  <c r="I106" i="2"/>
  <c r="I105" i="2"/>
  <c r="I104" i="2"/>
  <c r="I103" i="2"/>
  <c r="I102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Q23" i="2" s="1" a="1"/>
  <c r="Q46" i="2" l="1"/>
  <c r="Q91" i="2"/>
  <c r="Q97" i="2"/>
  <c r="Q100" i="2"/>
  <c r="Q103" i="2"/>
  <c r="Q106" i="2"/>
  <c r="Q109" i="2"/>
  <c r="Q112" i="2"/>
  <c r="Q23" i="2"/>
  <c r="Q26" i="2"/>
  <c r="Q29" i="2"/>
  <c r="Q32" i="2"/>
  <c r="Q35" i="2"/>
  <c r="Q38" i="2"/>
  <c r="Q41" i="2"/>
  <c r="Q44" i="2"/>
  <c r="Q47" i="2"/>
  <c r="Q50" i="2"/>
  <c r="Q53" i="2"/>
  <c r="Q56" i="2"/>
  <c r="Q59" i="2"/>
  <c r="Q62" i="2"/>
  <c r="Q65" i="2"/>
  <c r="Q68" i="2"/>
  <c r="Q71" i="2"/>
  <c r="Q74" i="2"/>
  <c r="Q77" i="2"/>
  <c r="Q80" i="2"/>
  <c r="Q83" i="2"/>
  <c r="Q86" i="2"/>
  <c r="Q89" i="2"/>
  <c r="Q92" i="2"/>
  <c r="Q95" i="2"/>
  <c r="Q98" i="2"/>
  <c r="Q101" i="2"/>
  <c r="Q104" i="2"/>
  <c r="Q107" i="2"/>
  <c r="Q110" i="2"/>
  <c r="Q30" i="2"/>
  <c r="Q57" i="2"/>
  <c r="Q69" i="2"/>
  <c r="Q78" i="2"/>
  <c r="Q90" i="2"/>
  <c r="Q102" i="2"/>
  <c r="Q24" i="2"/>
  <c r="Q36" i="2"/>
  <c r="Q39" i="2"/>
  <c r="Q45" i="2"/>
  <c r="Q54" i="2"/>
  <c r="Q66" i="2"/>
  <c r="Q81" i="2"/>
  <c r="Q93" i="2"/>
  <c r="Q105" i="2"/>
  <c r="Q33" i="2"/>
  <c r="Q48" i="2"/>
  <c r="Q63" i="2"/>
  <c r="Q75" i="2"/>
  <c r="Q87" i="2"/>
  <c r="Q99" i="2"/>
  <c r="Q111" i="2"/>
  <c r="Q28" i="2"/>
  <c r="Q31" i="2"/>
  <c r="Q34" i="2"/>
  <c r="Q37" i="2"/>
  <c r="Q43" i="2"/>
  <c r="Q49" i="2"/>
  <c r="Q55" i="2"/>
  <c r="Q61" i="2"/>
  <c r="Q27" i="2"/>
  <c r="Q42" i="2"/>
  <c r="Q51" i="2"/>
  <c r="Q60" i="2"/>
  <c r="Q72" i="2"/>
  <c r="Q84" i="2"/>
  <c r="Q96" i="2"/>
  <c r="Q108" i="2"/>
  <c r="Q25" i="2"/>
  <c r="Q40" i="2"/>
  <c r="Q52" i="2"/>
  <c r="Q58" i="2"/>
  <c r="Q64" i="2"/>
  <c r="Q70" i="2"/>
  <c r="Q73" i="2"/>
  <c r="Q76" i="2"/>
  <c r="Q79" i="2"/>
  <c r="Q82" i="2"/>
  <c r="Q85" i="2"/>
  <c r="Q88" i="2"/>
  <c r="Q94" i="2"/>
  <c r="Q67" i="2"/>
  <c r="O109" i="2"/>
  <c r="O100" i="2"/>
  <c r="O94" i="2"/>
  <c r="O88" i="2"/>
  <c r="O82" i="2"/>
  <c r="O76" i="2"/>
  <c r="O67" i="2"/>
  <c r="O61" i="2"/>
  <c r="O55" i="2"/>
  <c r="O49" i="2"/>
  <c r="O43" i="2"/>
  <c r="O37" i="2"/>
  <c r="O28" i="2"/>
  <c r="M109" i="2"/>
  <c r="M100" i="2"/>
  <c r="M88" i="2"/>
  <c r="M79" i="2"/>
  <c r="M70" i="2"/>
  <c r="M61" i="2"/>
  <c r="M52" i="2"/>
  <c r="M43" i="2"/>
  <c r="M34" i="2"/>
  <c r="M28" i="2"/>
  <c r="K109" i="2"/>
  <c r="K100" i="2"/>
  <c r="K94" i="2"/>
  <c r="K85" i="2"/>
  <c r="K79" i="2"/>
  <c r="K70" i="2"/>
  <c r="K67" i="2"/>
  <c r="K61" i="2"/>
  <c r="K49" i="2"/>
  <c r="K40" i="2"/>
  <c r="K34" i="2"/>
  <c r="K28" i="2"/>
  <c r="O111" i="2"/>
  <c r="O108" i="2"/>
  <c r="O105" i="2"/>
  <c r="O102" i="2"/>
  <c r="O99" i="2"/>
  <c r="O96" i="2"/>
  <c r="O93" i="2"/>
  <c r="O90" i="2"/>
  <c r="O87" i="2"/>
  <c r="O84" i="2"/>
  <c r="O81" i="2"/>
  <c r="O78" i="2"/>
  <c r="O75" i="2"/>
  <c r="O72" i="2"/>
  <c r="O69" i="2"/>
  <c r="O66" i="2"/>
  <c r="O63" i="2"/>
  <c r="O60" i="2"/>
  <c r="O57" i="2"/>
  <c r="O54" i="2"/>
  <c r="O51" i="2"/>
  <c r="O48" i="2"/>
  <c r="O45" i="2"/>
  <c r="O42" i="2"/>
  <c r="O39" i="2"/>
  <c r="O36" i="2"/>
  <c r="O33" i="2"/>
  <c r="O30" i="2"/>
  <c r="O27" i="2"/>
  <c r="O24" i="2"/>
  <c r="M23" i="2"/>
  <c r="O112" i="2"/>
  <c r="O106" i="2"/>
  <c r="O97" i="2"/>
  <c r="O91" i="2"/>
  <c r="O85" i="2"/>
  <c r="O79" i="2"/>
  <c r="O73" i="2"/>
  <c r="O70" i="2"/>
  <c r="O64" i="2"/>
  <c r="O58" i="2"/>
  <c r="O52" i="2"/>
  <c r="O46" i="2"/>
  <c r="O40" i="2"/>
  <c r="O34" i="2"/>
  <c r="O25" i="2"/>
  <c r="M112" i="2"/>
  <c r="M103" i="2"/>
  <c r="M91" i="2"/>
  <c r="M85" i="2"/>
  <c r="M76" i="2"/>
  <c r="M67" i="2"/>
  <c r="M58" i="2"/>
  <c r="M49" i="2"/>
  <c r="M46" i="2"/>
  <c r="M37" i="2"/>
  <c r="M25" i="2"/>
  <c r="K112" i="2"/>
  <c r="K103" i="2"/>
  <c r="K97" i="2"/>
  <c r="K88" i="2"/>
  <c r="K82" i="2"/>
  <c r="K73" i="2"/>
  <c r="K64" i="2"/>
  <c r="K58" i="2"/>
  <c r="K52" i="2"/>
  <c r="K46" i="2"/>
  <c r="K43" i="2"/>
  <c r="K37" i="2"/>
  <c r="K31" i="2"/>
  <c r="M111" i="2"/>
  <c r="M108" i="2"/>
  <c r="M105" i="2"/>
  <c r="M102" i="2"/>
  <c r="M99" i="2"/>
  <c r="M96" i="2"/>
  <c r="M93" i="2"/>
  <c r="M90" i="2"/>
  <c r="M87" i="2"/>
  <c r="M84" i="2"/>
  <c r="M81" i="2"/>
  <c r="M78" i="2"/>
  <c r="M75" i="2"/>
  <c r="M72" i="2"/>
  <c r="M69" i="2"/>
  <c r="M66" i="2"/>
  <c r="M63" i="2"/>
  <c r="M60" i="2"/>
  <c r="M57" i="2"/>
  <c r="M54" i="2"/>
  <c r="M51" i="2"/>
  <c r="M48" i="2"/>
  <c r="M45" i="2"/>
  <c r="M42" i="2"/>
  <c r="M39" i="2"/>
  <c r="M36" i="2"/>
  <c r="M33" i="2"/>
  <c r="M30" i="2"/>
  <c r="M27" i="2"/>
  <c r="M24" i="2"/>
  <c r="K111" i="2"/>
  <c r="K108" i="2"/>
  <c r="K105" i="2"/>
  <c r="K102" i="2"/>
  <c r="K99" i="2"/>
  <c r="K96" i="2"/>
  <c r="K93" i="2"/>
  <c r="K90" i="2"/>
  <c r="K87" i="2"/>
  <c r="K84" i="2"/>
  <c r="K81" i="2"/>
  <c r="K78" i="2"/>
  <c r="K75" i="2"/>
  <c r="K72" i="2"/>
  <c r="K69" i="2"/>
  <c r="K66" i="2"/>
  <c r="K63" i="2"/>
  <c r="K60" i="2"/>
  <c r="K57" i="2"/>
  <c r="K54" i="2"/>
  <c r="K51" i="2"/>
  <c r="K48" i="2"/>
  <c r="K45" i="2"/>
  <c r="K42" i="2"/>
  <c r="K39" i="2"/>
  <c r="K36" i="2"/>
  <c r="K33" i="2"/>
  <c r="K30" i="2"/>
  <c r="K27" i="2"/>
  <c r="K24" i="2"/>
  <c r="M106" i="2"/>
  <c r="M94" i="2"/>
  <c r="M82" i="2"/>
  <c r="M73" i="2"/>
  <c r="M64" i="2"/>
  <c r="M55" i="2"/>
  <c r="M40" i="2"/>
  <c r="K23" i="2"/>
  <c r="K106" i="2"/>
  <c r="K91" i="2"/>
  <c r="K76" i="2"/>
  <c r="K55" i="2"/>
  <c r="K25" i="2"/>
  <c r="K101" i="2"/>
  <c r="K98" i="2"/>
  <c r="K95" i="2"/>
  <c r="K92" i="2"/>
  <c r="K89" i="2"/>
  <c r="K86" i="2"/>
  <c r="K83" i="2"/>
  <c r="K80" i="2"/>
  <c r="K77" i="2"/>
  <c r="K74" i="2"/>
  <c r="K71" i="2"/>
  <c r="K68" i="2"/>
  <c r="K65" i="2"/>
  <c r="K62" i="2"/>
  <c r="K59" i="2"/>
  <c r="K56" i="2"/>
  <c r="K53" i="2"/>
  <c r="K50" i="2"/>
  <c r="K47" i="2"/>
  <c r="K44" i="2"/>
  <c r="K41" i="2"/>
  <c r="K38" i="2"/>
  <c r="K35" i="2"/>
  <c r="K32" i="2"/>
  <c r="K29" i="2"/>
  <c r="K26" i="2"/>
  <c r="O110" i="2"/>
  <c r="O107" i="2"/>
  <c r="O104" i="2"/>
  <c r="O101" i="2"/>
  <c r="O98" i="2"/>
  <c r="O95" i="2"/>
  <c r="O92" i="2"/>
  <c r="O89" i="2"/>
  <c r="O86" i="2"/>
  <c r="O83" i="2"/>
  <c r="O80" i="2"/>
  <c r="O77" i="2"/>
  <c r="O74" i="2"/>
  <c r="O71" i="2"/>
  <c r="O68" i="2"/>
  <c r="O65" i="2"/>
  <c r="O62" i="2"/>
  <c r="O59" i="2"/>
  <c r="O56" i="2"/>
  <c r="O53" i="2"/>
  <c r="O50" i="2"/>
  <c r="O47" i="2"/>
  <c r="O44" i="2"/>
  <c r="O41" i="2"/>
  <c r="O38" i="2"/>
  <c r="O35" i="2"/>
  <c r="O32" i="2"/>
  <c r="O29" i="2"/>
  <c r="O26" i="2"/>
  <c r="M110" i="2"/>
  <c r="M107" i="2"/>
  <c r="M104" i="2"/>
  <c r="M101" i="2"/>
  <c r="M98" i="2"/>
  <c r="M95" i="2"/>
  <c r="M92" i="2"/>
  <c r="M89" i="2"/>
  <c r="M86" i="2"/>
  <c r="M83" i="2"/>
  <c r="M80" i="2"/>
  <c r="M77" i="2"/>
  <c r="M74" i="2"/>
  <c r="M71" i="2"/>
  <c r="M68" i="2"/>
  <c r="M65" i="2"/>
  <c r="M62" i="2"/>
  <c r="M59" i="2"/>
  <c r="M56" i="2"/>
  <c r="M53" i="2"/>
  <c r="M50" i="2"/>
  <c r="M47" i="2"/>
  <c r="M44" i="2"/>
  <c r="M41" i="2"/>
  <c r="M38" i="2"/>
  <c r="M35" i="2"/>
  <c r="M32" i="2"/>
  <c r="M29" i="2"/>
  <c r="M26" i="2"/>
  <c r="O23" i="2"/>
  <c r="K110" i="2"/>
  <c r="O103" i="2"/>
  <c r="M97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<sst xmlns="http://schemas.openxmlformats.org/spreadsheetml/2006/main" count="336" uniqueCount="76">
  <si>
    <t>Dashboard</t>
  </si>
  <si>
    <r>
      <rPr>
        <b/>
        <sz val="20"/>
        <color rgb="FFFFC000"/>
        <rFont val="Arial Black"/>
        <charset val="134"/>
      </rPr>
      <t>Trainer:</t>
    </r>
    <r>
      <rPr>
        <b/>
        <sz val="28"/>
        <color rgb="FFFFC000"/>
        <rFont val="Arial Black"/>
        <charset val="134"/>
      </rPr>
      <t xml:space="preserve"> </t>
    </r>
    <r>
      <rPr>
        <b/>
        <sz val="28"/>
        <color theme="0"/>
        <rFont val="Arial Black"/>
        <charset val="134"/>
      </rPr>
      <t xml:space="preserve">
Narendra</t>
    </r>
  </si>
  <si>
    <t>Date</t>
  </si>
  <si>
    <t>Region</t>
  </si>
  <si>
    <t>Salesperson</t>
  </si>
  <si>
    <t>Product</t>
  </si>
  <si>
    <t>Quantity Sold</t>
  </si>
  <si>
    <t>Sales Amount</t>
  </si>
  <si>
    <t>Discount (%)</t>
  </si>
  <si>
    <t>Profit Margin (%)</t>
  </si>
  <si>
    <t>Total Sales Amount</t>
  </si>
  <si>
    <t>East</t>
  </si>
  <si>
    <t>Arun Kumar</t>
  </si>
  <si>
    <t>Product X</t>
  </si>
  <si>
    <t>West</t>
  </si>
  <si>
    <t>Priya Sharma</t>
  </si>
  <si>
    <t>Product Y</t>
  </si>
  <si>
    <t>North</t>
  </si>
  <si>
    <t>Rajesh Patel</t>
  </si>
  <si>
    <t>South</t>
  </si>
  <si>
    <t>Meera Reddy</t>
  </si>
  <si>
    <t>Product Z</t>
  </si>
  <si>
    <t>Dashboard Questions &amp; Visualization Suggestions</t>
  </si>
  <si>
    <t>1. Date</t>
  </si>
  <si>
    <r>
      <rPr>
        <b/>
        <sz val="11"/>
        <color theme="1"/>
        <rFont val="Calibri"/>
        <charset val="134"/>
        <scheme val="minor"/>
      </rPr>
      <t>What to Do</t>
    </r>
    <r>
      <rPr>
        <sz val="11"/>
        <color theme="1"/>
        <rFont val="Calibri"/>
        <charset val="134"/>
        <scheme val="minor"/>
      </rPr>
      <t>: Analyze sales trends over time.</t>
    </r>
  </si>
  <si>
    <r>
      <rPr>
        <b/>
        <sz val="11"/>
        <color theme="1"/>
        <rFont val="Calibri"/>
        <charset val="134"/>
        <scheme val="minor"/>
      </rPr>
      <t>Visualizations</t>
    </r>
    <r>
      <rPr>
        <sz val="11"/>
        <color theme="1"/>
        <rFont val="Calibri"/>
        <charset val="134"/>
        <scheme val="minor"/>
      </rPr>
      <t>: Line chart - Quantity Sold,  Area chart - showing Sales Amount over the dates.</t>
    </r>
  </si>
  <si>
    <t>2. Region</t>
  </si>
  <si>
    <r>
      <rPr>
        <b/>
        <sz val="11"/>
        <color theme="1"/>
        <rFont val="Calibri"/>
        <charset val="134"/>
        <scheme val="minor"/>
      </rPr>
      <t>What to Do</t>
    </r>
    <r>
      <rPr>
        <sz val="11"/>
        <color theme="1"/>
        <rFont val="Calibri"/>
        <charset val="134"/>
        <scheme val="minor"/>
      </rPr>
      <t>: Compare sales performance across different regions.</t>
    </r>
  </si>
  <si>
    <r>
      <rPr>
        <b/>
        <sz val="11"/>
        <color theme="1"/>
        <rFont val="Calibri"/>
        <charset val="134"/>
        <scheme val="minor"/>
      </rPr>
      <t>Visualizations</t>
    </r>
    <r>
      <rPr>
        <sz val="11"/>
        <color theme="1"/>
        <rFont val="Calibri"/>
        <charset val="134"/>
        <scheme val="minor"/>
      </rPr>
      <t>: Bar chart - Total Sales Amount, pie chart - Quantity Sold, by Region.</t>
    </r>
  </si>
  <si>
    <t>3. Salesperson</t>
  </si>
  <si>
    <r>
      <rPr>
        <b/>
        <sz val="11"/>
        <color theme="1"/>
        <rFont val="Calibri"/>
        <charset val="134"/>
        <scheme val="minor"/>
      </rPr>
      <t>What to Do</t>
    </r>
    <r>
      <rPr>
        <sz val="11"/>
        <color theme="1"/>
        <rFont val="Calibri"/>
        <charset val="134"/>
        <scheme val="minor"/>
      </rPr>
      <t>: Evaluate performance of each salesperson.</t>
    </r>
  </si>
  <si>
    <r>
      <rPr>
        <b/>
        <sz val="11"/>
        <color theme="1"/>
        <rFont val="Calibri"/>
        <charset val="134"/>
        <scheme val="minor"/>
      </rPr>
      <t>Visualizations</t>
    </r>
    <r>
      <rPr>
        <sz val="11"/>
        <color theme="1"/>
        <rFont val="Calibri"/>
        <charset val="134"/>
        <scheme val="minor"/>
      </rPr>
      <t>: Bar chart - Profit Margin by Salesperson.</t>
    </r>
  </si>
  <si>
    <t>4. Product</t>
  </si>
  <si>
    <r>
      <rPr>
        <b/>
        <sz val="11"/>
        <color theme="1"/>
        <rFont val="Calibri"/>
        <charset val="134"/>
        <scheme val="minor"/>
      </rPr>
      <t>What to Do</t>
    </r>
    <r>
      <rPr>
        <sz val="11"/>
        <color theme="1"/>
        <rFont val="Calibri"/>
        <charset val="134"/>
        <scheme val="minor"/>
      </rPr>
      <t>: Understand sales distribution by product type.</t>
    </r>
  </si>
  <si>
    <r>
      <rPr>
        <b/>
        <sz val="11"/>
        <color theme="1"/>
        <rFont val="Calibri"/>
        <charset val="134"/>
        <scheme val="minor"/>
      </rPr>
      <t>Visualizations</t>
    </r>
    <r>
      <rPr>
        <sz val="11"/>
        <color theme="1"/>
        <rFont val="Calibri"/>
        <charset val="134"/>
        <scheme val="minor"/>
      </rPr>
      <t>: Stacked bar chart - Sales Amount, pie chart - Quantity Sold by Product.</t>
    </r>
  </si>
  <si>
    <t>5. Quantity Sold</t>
  </si>
  <si>
    <r>
      <rPr>
        <b/>
        <sz val="11"/>
        <color theme="1"/>
        <rFont val="Calibri"/>
        <charset val="134"/>
        <scheme val="minor"/>
      </rPr>
      <t>What to Do</t>
    </r>
    <r>
      <rPr>
        <sz val="11"/>
        <color theme="1"/>
        <rFont val="Calibri"/>
        <charset val="134"/>
        <scheme val="minor"/>
      </rPr>
      <t>: Track sales volume trends and performance.</t>
    </r>
  </si>
  <si>
    <r>
      <rPr>
        <b/>
        <sz val="11"/>
        <color theme="1"/>
        <rFont val="Calibri"/>
        <charset val="134"/>
        <scheme val="minor"/>
      </rPr>
      <t>Visualizations</t>
    </r>
    <r>
      <rPr>
        <sz val="11"/>
        <color theme="1"/>
        <rFont val="Calibri"/>
        <charset val="134"/>
        <scheme val="minor"/>
      </rPr>
      <t>: Line chart - Quantity Sold over time by Region.</t>
    </r>
  </si>
  <si>
    <t>6. Sales Amount</t>
  </si>
  <si>
    <r>
      <rPr>
        <b/>
        <sz val="11"/>
        <color theme="1"/>
        <rFont val="Calibri"/>
        <charset val="134"/>
        <scheme val="minor"/>
      </rPr>
      <t>What to Do</t>
    </r>
    <r>
      <rPr>
        <sz val="11"/>
        <color theme="1"/>
        <rFont val="Calibri"/>
        <charset val="134"/>
        <scheme val="minor"/>
      </rPr>
      <t>: Assess total revenue and its distribution.</t>
    </r>
  </si>
  <si>
    <r>
      <rPr>
        <b/>
        <sz val="11"/>
        <color theme="1"/>
        <rFont val="Calibri"/>
        <charset val="134"/>
        <scheme val="minor"/>
      </rPr>
      <t>Visualizations</t>
    </r>
    <r>
      <rPr>
        <sz val="11"/>
        <color theme="1"/>
        <rFont val="Calibri"/>
        <charset val="134"/>
        <scheme val="minor"/>
      </rPr>
      <t>: Bar chart - Sales Amount over time, bar chart by Product.</t>
    </r>
  </si>
  <si>
    <t>7. Discount (%)</t>
  </si>
  <si>
    <r>
      <rPr>
        <b/>
        <sz val="11"/>
        <color theme="1"/>
        <rFont val="Calibri"/>
        <charset val="134"/>
        <scheme val="minor"/>
      </rPr>
      <t>What to Do</t>
    </r>
    <r>
      <rPr>
        <sz val="11"/>
        <color theme="1"/>
        <rFont val="Calibri"/>
        <charset val="134"/>
        <scheme val="minor"/>
      </rPr>
      <t>: Analyze the impact of discounts on sales.</t>
    </r>
  </si>
  <si>
    <r>
      <rPr>
        <b/>
        <sz val="11"/>
        <color theme="1"/>
        <rFont val="Calibri"/>
        <charset val="134"/>
        <scheme val="minor"/>
      </rPr>
      <t>Visualizations</t>
    </r>
    <r>
      <rPr>
        <sz val="11"/>
        <color theme="1"/>
        <rFont val="Calibri"/>
        <charset val="134"/>
        <scheme val="minor"/>
      </rPr>
      <t>: Scatter plot showing Discount (%) vs. Sales Amount</t>
    </r>
  </si>
  <si>
    <t>8. Profit Margin (%)</t>
  </si>
  <si>
    <r>
      <rPr>
        <b/>
        <sz val="11"/>
        <color theme="1"/>
        <rFont val="Calibri"/>
        <charset val="134"/>
        <scheme val="minor"/>
      </rPr>
      <t>What to Do</t>
    </r>
    <r>
      <rPr>
        <sz val="11"/>
        <color theme="1"/>
        <rFont val="Calibri"/>
        <charset val="134"/>
        <scheme val="minor"/>
      </rPr>
      <t>: Monitor profitability and its trends.</t>
    </r>
  </si>
  <si>
    <r>
      <rPr>
        <b/>
        <sz val="11"/>
        <color theme="1"/>
        <rFont val="Calibri"/>
        <charset val="134"/>
        <scheme val="minor"/>
      </rPr>
      <t>Visualizations</t>
    </r>
    <r>
      <rPr>
        <sz val="11"/>
        <color theme="1"/>
        <rFont val="Calibri"/>
        <charset val="134"/>
        <scheme val="minor"/>
      </rPr>
      <t>: Line chart or bar chart showing Profit Margin trends over time or by Product.</t>
    </r>
  </si>
  <si>
    <t>Additional Columns for Calculation</t>
  </si>
  <si>
    <t>1. Total Sales (Calculated Column)</t>
  </si>
  <si>
    <r>
      <rPr>
        <b/>
        <sz val="11"/>
        <color theme="1"/>
        <rFont val="Calibri"/>
        <charset val="134"/>
        <scheme val="minor"/>
      </rPr>
      <t>Formula</t>
    </r>
    <r>
      <rPr>
        <sz val="11"/>
        <color theme="1"/>
        <rFont val="Calibri"/>
        <charset val="134"/>
        <scheme val="minor"/>
      </rPr>
      <t xml:space="preserve">: </t>
    </r>
    <r>
      <rPr>
        <sz val="10"/>
        <color theme="1"/>
        <rFont val="Arial Unicode MS"/>
        <charset val="134"/>
      </rPr>
      <t>=Quantity Sold * Sales Amount</t>
    </r>
  </si>
  <si>
    <r>
      <rPr>
        <b/>
        <sz val="11"/>
        <color theme="1"/>
        <rFont val="Calibri"/>
        <charset val="134"/>
        <scheme val="minor"/>
      </rPr>
      <t>Use</t>
    </r>
    <r>
      <rPr>
        <sz val="11"/>
        <color theme="1"/>
        <rFont val="Calibri"/>
        <charset val="134"/>
        <scheme val="minor"/>
      </rPr>
      <t>: To analyze total revenue generated for each entry.</t>
    </r>
  </si>
  <si>
    <t>2. Profit Amount (Calculated Column)</t>
  </si>
  <si>
    <r>
      <rPr>
        <b/>
        <sz val="11"/>
        <color theme="1"/>
        <rFont val="Calibri"/>
        <charset val="134"/>
        <scheme val="minor"/>
      </rPr>
      <t>Formula</t>
    </r>
    <r>
      <rPr>
        <sz val="11"/>
        <color theme="1"/>
        <rFont val="Calibri"/>
        <charset val="134"/>
        <scheme val="minor"/>
      </rPr>
      <t xml:space="preserve">: </t>
    </r>
    <r>
      <rPr>
        <sz val="10"/>
        <color theme="1"/>
        <rFont val="Arial Unicode MS"/>
        <charset val="134"/>
      </rPr>
      <t>=Sales Amount * (Profit Margin (%) / 100)</t>
    </r>
  </si>
  <si>
    <r>
      <rPr>
        <b/>
        <sz val="11"/>
        <color theme="1"/>
        <rFont val="Calibri"/>
        <charset val="134"/>
        <scheme val="minor"/>
      </rPr>
      <t>Use</t>
    </r>
    <r>
      <rPr>
        <sz val="11"/>
        <color theme="1"/>
        <rFont val="Calibri"/>
        <charset val="134"/>
        <scheme val="minor"/>
      </rPr>
      <t>: To determine the actual profit for each sale.</t>
    </r>
  </si>
  <si>
    <t>3. Net Sales Amount (Calculated Column)</t>
  </si>
  <si>
    <r>
      <rPr>
        <b/>
        <sz val="11"/>
        <color theme="1"/>
        <rFont val="Calibri"/>
        <charset val="134"/>
        <scheme val="minor"/>
      </rPr>
      <t>Formula</t>
    </r>
    <r>
      <rPr>
        <sz val="11"/>
        <color theme="1"/>
        <rFont val="Calibri"/>
        <charset val="134"/>
        <scheme val="minor"/>
      </rPr>
      <t xml:space="preserve">: </t>
    </r>
    <r>
      <rPr>
        <sz val="10"/>
        <color theme="1"/>
        <rFont val="Arial Unicode MS"/>
        <charset val="134"/>
      </rPr>
      <t>=Sales Amount - (Sales Amount * (Discount (%) / 100))</t>
    </r>
  </si>
  <si>
    <r>
      <rPr>
        <b/>
        <sz val="11"/>
        <color theme="1"/>
        <rFont val="Calibri"/>
        <charset val="134"/>
        <scheme val="minor"/>
      </rPr>
      <t>Use</t>
    </r>
    <r>
      <rPr>
        <sz val="11"/>
        <color theme="1"/>
        <rFont val="Calibri"/>
        <charset val="134"/>
        <scheme val="minor"/>
      </rPr>
      <t>: To account for discounts and analyze net revenue.</t>
    </r>
  </si>
  <si>
    <t>4. Profit after Discount (Calculated Column)</t>
  </si>
  <si>
    <r>
      <rPr>
        <b/>
        <sz val="11"/>
        <color theme="1"/>
        <rFont val="Calibri"/>
        <charset val="134"/>
        <scheme val="minor"/>
      </rPr>
      <t>Formula</t>
    </r>
    <r>
      <rPr>
        <sz val="11"/>
        <color theme="1"/>
        <rFont val="Calibri"/>
        <charset val="134"/>
        <scheme val="minor"/>
      </rPr>
      <t xml:space="preserve">: </t>
    </r>
    <r>
      <rPr>
        <sz val="10"/>
        <color theme="1"/>
        <rFont val="Arial Unicode MS"/>
        <charset val="134"/>
      </rPr>
      <t>=Net Sales Amount * (Profit Margin (%) / 100)</t>
    </r>
  </si>
  <si>
    <r>
      <rPr>
        <b/>
        <sz val="11"/>
        <color theme="1"/>
        <rFont val="Calibri"/>
        <charset val="134"/>
        <scheme val="minor"/>
      </rPr>
      <t>Use</t>
    </r>
    <r>
      <rPr>
        <sz val="11"/>
        <color theme="1"/>
        <rFont val="Calibri"/>
        <charset val="134"/>
        <scheme val="minor"/>
      </rPr>
      <t>: To find out the profit considering the discount applied.</t>
    </r>
  </si>
  <si>
    <t>How to Implement</t>
  </si>
  <si>
    <r>
      <rPr>
        <b/>
        <sz val="11"/>
        <color theme="1"/>
        <rFont val="Calibri"/>
        <charset val="134"/>
        <scheme val="minor"/>
      </rPr>
      <t>1. Create Tables</t>
    </r>
    <r>
      <rPr>
        <sz val="11"/>
        <color theme="1"/>
        <rFont val="Calibri"/>
        <charset val="134"/>
        <scheme val="minor"/>
      </rPr>
      <t>: Input the data into an Excel worksheet, ensuring each column is clearly labeled.</t>
    </r>
  </si>
  <si>
    <r>
      <rPr>
        <b/>
        <sz val="11"/>
        <color theme="1"/>
        <rFont val="Calibri"/>
        <charset val="134"/>
        <scheme val="minor"/>
      </rPr>
      <t>2. Add Calculated Columns</t>
    </r>
    <r>
      <rPr>
        <sz val="11"/>
        <color theme="1"/>
        <rFont val="Calibri"/>
        <charset val="134"/>
        <scheme val="minor"/>
      </rPr>
      <t>: Insert additional columns and apply the formulas to compute Total Sales, Profit Amount, Net Sales Amount, and Profit after Discount.</t>
    </r>
  </si>
  <si>
    <r>
      <rPr>
        <b/>
        <sz val="11"/>
        <color theme="1"/>
        <rFont val="Calibri"/>
        <charset val="134"/>
        <scheme val="minor"/>
      </rPr>
      <t>3. Insert Visualizations</t>
    </r>
    <r>
      <rPr>
        <sz val="11"/>
        <color theme="1"/>
        <rFont val="Calibri"/>
        <charset val="134"/>
        <scheme val="minor"/>
      </rPr>
      <t>: Use Excel’s built-in chart tools to create the visualizations suggested for each column.</t>
    </r>
  </si>
  <si>
    <r>
      <rPr>
        <b/>
        <sz val="11"/>
        <color theme="1"/>
        <rFont val="Calibri"/>
        <charset val="134"/>
        <scheme val="minor"/>
      </rPr>
      <t>4. Build the Dashboard</t>
    </r>
    <r>
      <rPr>
        <sz val="11"/>
        <color theme="1"/>
        <rFont val="Calibri"/>
        <charset val="134"/>
        <scheme val="minor"/>
      </rPr>
      <t>: Arrange your visualizations and tables on a new worksheet. Use slicers and pivot tables to make your dashboard interactive.</t>
    </r>
  </si>
  <si>
    <t>Q 1</t>
  </si>
  <si>
    <t>Q 2</t>
  </si>
  <si>
    <t>Q 3</t>
  </si>
  <si>
    <t>Q 4</t>
  </si>
  <si>
    <t>Prepared By HAREESH</t>
  </si>
  <si>
    <t>No Of Sales Persons</t>
  </si>
  <si>
    <t>Min Sales Amount</t>
  </si>
  <si>
    <t>Max Sales Amount</t>
  </si>
  <si>
    <t>Sum Of Sales Amount</t>
  </si>
  <si>
    <t>High Product Sold</t>
  </si>
  <si>
    <t>DYNAMIC SALES ANALYTICS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</si>
</sst>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34"/>
      <color rgb="FFFFFF00"/>
      <name val="Arial Black"/>
      <charset val="134"/>
    </font>
    <font>
      <b/>
      <sz val="28"/>
      <color theme="0"/>
      <name val="Arial Black"/>
      <charset val="134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20"/>
      <color rgb="FFFFC000"/>
      <name val="Arial Black"/>
      <charset val="134"/>
    </font>
    <font>
      <b/>
      <sz val="28"/>
      <color rgb="FFFFC000"/>
      <name val="Arial Black"/>
      <charset val="134"/>
    </font>
    <font>
      <b/>
      <u/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/>
    <xf numFmtId="14" fontId="0" fillId="0" borderId="7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9" xfId="0" applyBorder="1"/>
    <xf numFmtId="0" fontId="0" fillId="8" borderId="0" xfId="0" applyFill="1"/>
    <xf numFmtId="0" fontId="11" fillId="2" borderId="0" xfId="0" applyFont="1" applyFill="1"/>
    <xf numFmtId="0" fontId="0" fillId="8" borderId="4" xfId="0" applyFill="1" applyBorder="1" applyAlignment="1">
      <alignment horizontal="right" vertical="top"/>
    </xf>
    <xf numFmtId="0" fontId="11" fillId="9" borderId="9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left" vertical="center" indent="1"/>
    </xf>
    <xf numFmtId="0" fontId="12" fillId="8" borderId="10" xfId="0" applyFont="1" applyFill="1" applyBorder="1" applyAlignment="1">
      <alignment horizontal="left" vertical="center" indent="1"/>
    </xf>
    <xf numFmtId="0" fontId="12" fillId="8" borderId="7" xfId="0" applyFont="1" applyFill="1" applyBorder="1" applyAlignment="1">
      <alignment horizontal="left" vertical="center" indent="1"/>
    </xf>
    <xf numFmtId="0" fontId="12" fillId="8" borderId="5" xfId="0" applyFont="1" applyFill="1" applyBorder="1" applyAlignment="1">
      <alignment horizontal="left" vertical="center" indent="1"/>
    </xf>
    <xf numFmtId="0" fontId="12" fillId="8" borderId="11" xfId="0" applyFont="1" applyFill="1" applyBorder="1" applyAlignment="1">
      <alignment horizontal="left" vertical="center" indent="1"/>
    </xf>
    <xf numFmtId="0" fontId="12" fillId="8" borderId="1" xfId="0" applyFont="1" applyFill="1" applyBorder="1" applyAlignment="1">
      <alignment horizontal="left" vertical="center" indent="1"/>
    </xf>
    <xf numFmtId="0" fontId="10" fillId="10" borderId="4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m/d/yyyy"/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Quantity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VS Dates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4980</c:v>
              </c:pt>
              <c:pt idx="1">
                <c:v>4820</c:v>
              </c:pt>
              <c:pt idx="2">
                <c:v>5310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CD0-4D8C-8CF3-A58349601A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7851824"/>
        <c:axId val="497852304"/>
      </c:lineChart>
      <c:catAx>
        <c:axId val="49785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52304"/>
        <c:crosses val="autoZero"/>
        <c:auto val="1"/>
        <c:lblAlgn val="ctr"/>
        <c:lblOffset val="100"/>
        <c:noMultiLvlLbl val="0"/>
      </c:catAx>
      <c:valAx>
        <c:axId val="49785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851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Sales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Amount VS Dates</a:t>
            </a:r>
            <a:endParaRPr lang="en-US">
              <a:solidFill>
                <a:schemeClr val="accent2">
                  <a:lumMod val="60000"/>
                  <a:lumOff val="40000"/>
                </a:schemeClr>
              </a:solidFill>
            </a:endParaRPr>
          </a:p>
        </c:rich>
      </c:tx>
      <c:layout>
        <c:manualLayout>
          <c:xMode val="edge"/>
          <c:yMode val="edge"/>
          <c:x val="0.25692388907978492"/>
          <c:y val="0.10655817107430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99600</c:v>
              </c:pt>
              <c:pt idx="1">
                <c:v>96400</c:v>
              </c:pt>
              <c:pt idx="2">
                <c:v>106200</c:v>
              </c:pt>
            </c:numLit>
          </c:val>
          <c:extLst>
            <c:ext xmlns:c16="http://schemas.microsoft.com/office/drawing/2014/chart" uri="{C3380CC4-5D6E-409C-BE32-E72D297353CC}">
              <c16:uniqueId val="{00000000-B0B1-43BE-84B6-33EE2B0BF0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89022976"/>
        <c:axId val="489021056"/>
      </c:areaChart>
      <c:catAx>
        <c:axId val="48902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21056"/>
        <c:crosses val="autoZero"/>
        <c:auto val="1"/>
        <c:lblAlgn val="ctr"/>
        <c:lblOffset val="100"/>
        <c:noMultiLvlLbl val="0"/>
      </c:catAx>
      <c:valAx>
        <c:axId val="489021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22976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Profit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margin by sales person</a:t>
            </a:r>
            <a:endParaRPr lang="en-US">
              <a:solidFill>
                <a:schemeClr val="accent2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11466000</c:v>
              </c:pt>
              <c:pt idx="1">
                <c:v>12568000</c:v>
              </c:pt>
              <c:pt idx="2">
                <c:v>16472000</c:v>
              </c:pt>
              <c:pt idx="3">
                <c:v>12020000</c:v>
              </c:pt>
            </c:numLit>
          </c:val>
          <c:extLst>
            <c:ext xmlns:c16="http://schemas.microsoft.com/office/drawing/2014/chart" uri="{C3380CC4-5D6E-409C-BE32-E72D297353CC}">
              <c16:uniqueId val="{00000000-DAD3-4CF2-B2C9-D7A95BAEB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541458112"/>
        <c:axId val="541455712"/>
        <c:axId val="0"/>
      </c:bar3DChart>
      <c:catAx>
        <c:axId val="541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55712"/>
        <c:crosses val="autoZero"/>
        <c:auto val="1"/>
        <c:lblAlgn val="ctr"/>
        <c:lblOffset val="100"/>
        <c:noMultiLvlLbl val="0"/>
      </c:catAx>
      <c:valAx>
        <c:axId val="541455712"/>
        <c:scaling>
          <c:orientation val="minMax"/>
        </c:scaling>
        <c:delete val="1"/>
        <c:axPos val="b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414581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Quantity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Sold By Region</a:t>
            </a:r>
            <a:endParaRPr lang="en-US">
              <a:solidFill>
                <a:schemeClr val="accent2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E90-47E5-9E36-DA37A51E65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E90-47E5-9E36-DA37A51E65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E90-47E5-9E36-DA37A51E65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E90-47E5-9E36-DA37A51E65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3570</c:v>
              </c:pt>
              <c:pt idx="1">
                <c:v>3660</c:v>
              </c:pt>
              <c:pt idx="2">
                <c:v>4200</c:v>
              </c:pt>
              <c:pt idx="3">
                <c:v>3680</c:v>
              </c:pt>
            </c:numLit>
          </c:val>
          <c:extLst>
            <c:ext xmlns:c16="http://schemas.microsoft.com/office/drawing/2014/chart" uri="{C3380CC4-5D6E-409C-BE32-E72D297353CC}">
              <c16:uniqueId val="{00000008-FE90-47E5-9E36-DA37A51E65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Profit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margin by sales person</a:t>
            </a:r>
            <a:endParaRPr lang="en-US">
              <a:solidFill>
                <a:schemeClr val="accent2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Lit>
              <c:ptCount val="4"/>
              <c:pt idx="0">
                <c:v>Arun Kumar</c:v>
              </c:pt>
              <c:pt idx="1">
                <c:v>Meera Reddy</c:v>
              </c:pt>
              <c:pt idx="2">
                <c:v>Priya Sharma</c:v>
              </c:pt>
              <c:pt idx="3">
                <c:v>Rajesh Patel</c:v>
              </c:pt>
            </c:strLit>
          </c:cat>
          <c:val>
            <c:numLit>
              <c:formatCode>General</c:formatCode>
              <c:ptCount val="4"/>
              <c:pt idx="0">
                <c:v>532</c:v>
              </c:pt>
              <c:pt idx="1">
                <c:v>598</c:v>
              </c:pt>
              <c:pt idx="2">
                <c:v>524</c:v>
              </c:pt>
              <c:pt idx="3">
                <c:v>494</c:v>
              </c:pt>
            </c:numLit>
          </c:val>
          <c:extLst>
            <c:ext xmlns:c16="http://schemas.microsoft.com/office/drawing/2014/chart" uri="{C3380CC4-5D6E-409C-BE32-E72D297353CC}">
              <c16:uniqueId val="{00000000-0E54-4FFA-A4F4-26B69F008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489409008"/>
        <c:axId val="497979376"/>
        <c:axId val="0"/>
      </c:bar3DChart>
      <c:catAx>
        <c:axId val="489409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79376"/>
        <c:crosses val="autoZero"/>
        <c:auto val="1"/>
        <c:lblAlgn val="ctr"/>
        <c:lblOffset val="100"/>
        <c:noMultiLvlLbl val="0"/>
      </c:catAx>
      <c:valAx>
        <c:axId val="497979376"/>
        <c:scaling>
          <c:orientation val="minMax"/>
        </c:scaling>
        <c:delete val="1"/>
        <c:axPos val="b"/>
        <c:majorGridlines>
          <c:spPr>
            <a:ln w="9525">
              <a:solidFill>
                <a:schemeClr val="lt1">
                  <a:lumMod val="50000"/>
                </a:schemeClr>
              </a:solidFill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894090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Sales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Amount VS Product</a:t>
            </a:r>
            <a:endParaRPr lang="en-US">
              <a:solidFill>
                <a:schemeClr val="accent2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3"/>
              <c:pt idx="0">
                <c:v>Product X</c:v>
              </c:pt>
              <c:pt idx="1">
                <c:v>Product Y</c:v>
              </c:pt>
              <c:pt idx="2">
                <c:v>Product Z</c:v>
              </c:pt>
            </c:strLit>
          </c:cat>
          <c:val>
            <c:numLit>
              <c:formatCode>General</c:formatCode>
              <c:ptCount val="3"/>
              <c:pt idx="0">
                <c:v>88200</c:v>
              </c:pt>
              <c:pt idx="1">
                <c:v>103400</c:v>
              </c:pt>
              <c:pt idx="2">
                <c:v>110600</c:v>
              </c:pt>
            </c:numLit>
          </c:val>
          <c:extLst>
            <c:ext xmlns:c16="http://schemas.microsoft.com/office/drawing/2014/chart" uri="{C3380CC4-5D6E-409C-BE32-E72D297353CC}">
              <c16:uniqueId val="{00000000-5199-4284-BE03-109D035B2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3059904"/>
        <c:axId val="543062304"/>
        <c:axId val="0"/>
      </c:bar3DChart>
      <c:catAx>
        <c:axId val="543059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62304"/>
        <c:crosses val="autoZero"/>
        <c:auto val="1"/>
        <c:lblAlgn val="ctr"/>
        <c:lblOffset val="100"/>
        <c:noMultiLvlLbl val="0"/>
      </c:catAx>
      <c:valAx>
        <c:axId val="54306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0599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Quantity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Sold By Product</a:t>
            </a:r>
            <a:endParaRPr lang="en-US">
              <a:solidFill>
                <a:schemeClr val="accent2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7E0-4AC4-B761-DFFBF37D63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7E0-4AC4-B761-DFFBF37D63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7E0-4AC4-B761-DFFBF37D63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Product X</c:v>
              </c:pt>
              <c:pt idx="1">
                <c:v>Product Y</c:v>
              </c:pt>
              <c:pt idx="2">
                <c:v>Product Z</c:v>
              </c:pt>
            </c:strLit>
          </c:cat>
          <c:val>
            <c:numLit>
              <c:formatCode>General</c:formatCode>
              <c:ptCount val="3"/>
              <c:pt idx="0">
                <c:v>4410</c:v>
              </c:pt>
              <c:pt idx="1">
                <c:v>5170</c:v>
              </c:pt>
              <c:pt idx="2">
                <c:v>5530</c:v>
              </c:pt>
            </c:numLit>
          </c:val>
          <c:extLst>
            <c:ext xmlns:c16="http://schemas.microsoft.com/office/drawing/2014/chart" uri="{C3380CC4-5D6E-409C-BE32-E72D297353CC}">
              <c16:uniqueId val="{00000006-F7E0-4AC4-B761-DFFBF37D63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Quantity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Sold By Region</a:t>
            </a:r>
            <a:endParaRPr lang="en-US">
              <a:solidFill>
                <a:schemeClr val="accent2">
                  <a:lumMod val="60000"/>
                  <a:lumOff val="40000"/>
                </a:schemeClr>
              </a:solidFill>
            </a:endParaRPr>
          </a:p>
        </c:rich>
      </c:tx>
      <c:layout>
        <c:manualLayout>
          <c:xMode val="edge"/>
          <c:yMode val="edge"/>
          <c:x val="0.23346153374781722"/>
          <c:y val="0.1252694342580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3570</c:v>
              </c:pt>
              <c:pt idx="1">
                <c:v>3660</c:v>
              </c:pt>
              <c:pt idx="2">
                <c:v>4200</c:v>
              </c:pt>
              <c:pt idx="3">
                <c:v>3680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B16-42CF-A9EE-A8738B44B9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2181136"/>
        <c:axId val="552180656"/>
      </c:lineChart>
      <c:catAx>
        <c:axId val="5521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180656"/>
        <c:crosses val="autoZero"/>
        <c:auto val="1"/>
        <c:lblAlgn val="ctr"/>
        <c:lblOffset val="100"/>
        <c:noMultiLvlLbl val="0"/>
      </c:catAx>
      <c:valAx>
        <c:axId val="55218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181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Sales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amount vs dates</a:t>
            </a:r>
            <a:endParaRPr lang="en-US">
              <a:solidFill>
                <a:schemeClr val="accent2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5B9BD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99600</c:v>
              </c:pt>
              <c:pt idx="1">
                <c:v>96400</c:v>
              </c:pt>
              <c:pt idx="2">
                <c:v>106200</c:v>
              </c:pt>
            </c:numLit>
          </c:val>
          <c:extLst>
            <c:ext xmlns:c16="http://schemas.microsoft.com/office/drawing/2014/chart" uri="{C3380CC4-5D6E-409C-BE32-E72D297353CC}">
              <c16:uniqueId val="{00000000-DCA7-435E-BB6C-A3E946EA6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634484448"/>
        <c:axId val="634483008"/>
        <c:axId val="0"/>
      </c:bar3DChart>
      <c:catAx>
        <c:axId val="63448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83008"/>
        <c:crosses val="autoZero"/>
        <c:auto val="1"/>
        <c:lblAlgn val="ctr"/>
        <c:lblOffset val="100"/>
        <c:noMultiLvlLbl val="0"/>
      </c:catAx>
      <c:valAx>
        <c:axId val="634483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4484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Sales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Amount By Product</a:t>
            </a:r>
            <a:endParaRPr lang="en-US">
              <a:solidFill>
                <a:schemeClr val="accent2">
                  <a:lumMod val="60000"/>
                  <a:lumOff val="40000"/>
                </a:schemeClr>
              </a:solidFill>
            </a:endParaRPr>
          </a:p>
        </c:rich>
      </c:tx>
      <c:layout>
        <c:manualLayout>
          <c:xMode val="edge"/>
          <c:yMode val="edge"/>
          <c:x val="0.29060764203968148"/>
          <c:y val="0.133667984817072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3"/>
              <c:pt idx="0">
                <c:v>Product X</c:v>
              </c:pt>
              <c:pt idx="1">
                <c:v>Product Y</c:v>
              </c:pt>
              <c:pt idx="2">
                <c:v>Product Z</c:v>
              </c:pt>
            </c:strLit>
          </c:cat>
          <c:val>
            <c:numLit>
              <c:formatCode>General</c:formatCode>
              <c:ptCount val="3"/>
              <c:pt idx="0">
                <c:v>88200</c:v>
              </c:pt>
              <c:pt idx="1">
                <c:v>103400</c:v>
              </c:pt>
              <c:pt idx="2">
                <c:v>110600</c:v>
              </c:pt>
            </c:numLit>
          </c:val>
          <c:extLst>
            <c:ext xmlns:c16="http://schemas.microsoft.com/office/drawing/2014/chart" uri="{C3380CC4-5D6E-409C-BE32-E72D297353CC}">
              <c16:uniqueId val="{00000000-1DFC-46F8-98CF-730E0BCB0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6324736"/>
        <c:axId val="634741696"/>
        <c:axId val="0"/>
      </c:bar3DChart>
      <c:catAx>
        <c:axId val="63632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741696"/>
        <c:crosses val="autoZero"/>
        <c:auto val="1"/>
        <c:lblAlgn val="ctr"/>
        <c:lblOffset val="100"/>
        <c:noMultiLvlLbl val="0"/>
      </c:catAx>
      <c:valAx>
        <c:axId val="63474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247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Discount (%) VS Sales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Class!$G$20</c:f>
              <c:strCache>
                <c:ptCount val="1"/>
                <c:pt idx="0">
                  <c:v>Discount (%)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Class!$F$21:$F$110</c:f>
              <c:numCache>
                <c:formatCode>General</c:formatCode>
                <c:ptCount val="90"/>
                <c:pt idx="0">
                  <c:v>3000</c:v>
                </c:pt>
                <c:pt idx="1">
                  <c:v>4000</c:v>
                </c:pt>
                <c:pt idx="2">
                  <c:v>2400</c:v>
                </c:pt>
                <c:pt idx="3">
                  <c:v>5000</c:v>
                </c:pt>
                <c:pt idx="4">
                  <c:v>2000</c:v>
                </c:pt>
                <c:pt idx="5">
                  <c:v>3600</c:v>
                </c:pt>
                <c:pt idx="6">
                  <c:v>3000</c:v>
                </c:pt>
                <c:pt idx="7">
                  <c:v>4000</c:v>
                </c:pt>
                <c:pt idx="8">
                  <c:v>3400</c:v>
                </c:pt>
                <c:pt idx="9">
                  <c:v>2600</c:v>
                </c:pt>
                <c:pt idx="10">
                  <c:v>3200</c:v>
                </c:pt>
                <c:pt idx="11">
                  <c:v>3600</c:v>
                </c:pt>
                <c:pt idx="12">
                  <c:v>2800</c:v>
                </c:pt>
                <c:pt idx="13">
                  <c:v>3000</c:v>
                </c:pt>
                <c:pt idx="14">
                  <c:v>3800</c:v>
                </c:pt>
                <c:pt idx="15">
                  <c:v>4200</c:v>
                </c:pt>
                <c:pt idx="16">
                  <c:v>3200</c:v>
                </c:pt>
                <c:pt idx="17">
                  <c:v>3400</c:v>
                </c:pt>
                <c:pt idx="18">
                  <c:v>2800</c:v>
                </c:pt>
                <c:pt idx="19">
                  <c:v>4400</c:v>
                </c:pt>
                <c:pt idx="20">
                  <c:v>2600</c:v>
                </c:pt>
                <c:pt idx="21">
                  <c:v>2800</c:v>
                </c:pt>
                <c:pt idx="22">
                  <c:v>3800</c:v>
                </c:pt>
                <c:pt idx="23">
                  <c:v>3200</c:v>
                </c:pt>
                <c:pt idx="24">
                  <c:v>3600</c:v>
                </c:pt>
                <c:pt idx="25">
                  <c:v>3400</c:v>
                </c:pt>
                <c:pt idx="26">
                  <c:v>4000</c:v>
                </c:pt>
                <c:pt idx="27">
                  <c:v>3000</c:v>
                </c:pt>
                <c:pt idx="28">
                  <c:v>2200</c:v>
                </c:pt>
                <c:pt idx="29">
                  <c:v>3600</c:v>
                </c:pt>
                <c:pt idx="30">
                  <c:v>3200</c:v>
                </c:pt>
                <c:pt idx="31">
                  <c:v>2800</c:v>
                </c:pt>
                <c:pt idx="32">
                  <c:v>2200</c:v>
                </c:pt>
                <c:pt idx="33">
                  <c:v>4600</c:v>
                </c:pt>
                <c:pt idx="34">
                  <c:v>3800</c:v>
                </c:pt>
                <c:pt idx="35">
                  <c:v>2800</c:v>
                </c:pt>
                <c:pt idx="36">
                  <c:v>3200</c:v>
                </c:pt>
                <c:pt idx="37">
                  <c:v>4400</c:v>
                </c:pt>
                <c:pt idx="38">
                  <c:v>2800</c:v>
                </c:pt>
                <c:pt idx="39">
                  <c:v>2400</c:v>
                </c:pt>
                <c:pt idx="40">
                  <c:v>3400</c:v>
                </c:pt>
                <c:pt idx="41">
                  <c:v>4000</c:v>
                </c:pt>
                <c:pt idx="42">
                  <c:v>3000</c:v>
                </c:pt>
                <c:pt idx="43">
                  <c:v>3600</c:v>
                </c:pt>
                <c:pt idx="44">
                  <c:v>2600</c:v>
                </c:pt>
                <c:pt idx="45">
                  <c:v>3800</c:v>
                </c:pt>
                <c:pt idx="46">
                  <c:v>4200</c:v>
                </c:pt>
                <c:pt idx="47">
                  <c:v>3200</c:v>
                </c:pt>
                <c:pt idx="48">
                  <c:v>3600</c:v>
                </c:pt>
                <c:pt idx="49">
                  <c:v>3400</c:v>
                </c:pt>
                <c:pt idx="50">
                  <c:v>3000</c:v>
                </c:pt>
                <c:pt idx="51">
                  <c:v>2800</c:v>
                </c:pt>
                <c:pt idx="52">
                  <c:v>4000</c:v>
                </c:pt>
                <c:pt idx="53">
                  <c:v>3400</c:v>
                </c:pt>
                <c:pt idx="54">
                  <c:v>2400</c:v>
                </c:pt>
                <c:pt idx="55">
                  <c:v>3800</c:v>
                </c:pt>
                <c:pt idx="56">
                  <c:v>2800</c:v>
                </c:pt>
                <c:pt idx="57">
                  <c:v>4000</c:v>
                </c:pt>
                <c:pt idx="58">
                  <c:v>3200</c:v>
                </c:pt>
                <c:pt idx="59">
                  <c:v>3600</c:v>
                </c:pt>
                <c:pt idx="60">
                  <c:v>4400</c:v>
                </c:pt>
                <c:pt idx="61">
                  <c:v>4600</c:v>
                </c:pt>
                <c:pt idx="62">
                  <c:v>2200</c:v>
                </c:pt>
                <c:pt idx="63">
                  <c:v>2600</c:v>
                </c:pt>
                <c:pt idx="64">
                  <c:v>3000</c:v>
                </c:pt>
                <c:pt idx="65">
                  <c:v>2800</c:v>
                </c:pt>
                <c:pt idx="66">
                  <c:v>3400</c:v>
                </c:pt>
                <c:pt idx="67">
                  <c:v>3200</c:v>
                </c:pt>
                <c:pt idx="68">
                  <c:v>3600</c:v>
                </c:pt>
                <c:pt idx="69">
                  <c:v>3000</c:v>
                </c:pt>
                <c:pt idx="70">
                  <c:v>4000</c:v>
                </c:pt>
                <c:pt idx="71">
                  <c:v>2800</c:v>
                </c:pt>
                <c:pt idx="72">
                  <c:v>3200</c:v>
                </c:pt>
                <c:pt idx="73">
                  <c:v>3800</c:v>
                </c:pt>
                <c:pt idx="74">
                  <c:v>4000</c:v>
                </c:pt>
                <c:pt idx="75">
                  <c:v>3600</c:v>
                </c:pt>
                <c:pt idx="76">
                  <c:v>2800</c:v>
                </c:pt>
                <c:pt idx="77">
                  <c:v>4400</c:v>
                </c:pt>
                <c:pt idx="78">
                  <c:v>3000</c:v>
                </c:pt>
                <c:pt idx="79">
                  <c:v>3200</c:v>
                </c:pt>
                <c:pt idx="80">
                  <c:v>3800</c:v>
                </c:pt>
                <c:pt idx="81">
                  <c:v>4200</c:v>
                </c:pt>
                <c:pt idx="82">
                  <c:v>3400</c:v>
                </c:pt>
                <c:pt idx="83">
                  <c:v>2800</c:v>
                </c:pt>
                <c:pt idx="84">
                  <c:v>4400</c:v>
                </c:pt>
                <c:pt idx="85">
                  <c:v>2600</c:v>
                </c:pt>
                <c:pt idx="86">
                  <c:v>3000</c:v>
                </c:pt>
                <c:pt idx="87">
                  <c:v>4000</c:v>
                </c:pt>
                <c:pt idx="88">
                  <c:v>3200</c:v>
                </c:pt>
                <c:pt idx="89">
                  <c:v>3600</c:v>
                </c:pt>
              </c:numCache>
            </c:numRef>
          </c:xVal>
          <c:yVal>
            <c:numRef>
              <c:f>Class!$G$21:$G$110</c:f>
              <c:numCache>
                <c:formatCode>General</c:formatCode>
                <c:ptCount val="90"/>
                <c:pt idx="0">
                  <c:v>10</c:v>
                </c:pt>
                <c:pt idx="1">
                  <c:v>15</c:v>
                </c:pt>
                <c:pt idx="2">
                  <c:v>5</c:v>
                </c:pt>
                <c:pt idx="3">
                  <c:v>20</c:v>
                </c:pt>
                <c:pt idx="4">
                  <c:v>10</c:v>
                </c:pt>
                <c:pt idx="5">
                  <c:v>12</c:v>
                </c:pt>
                <c:pt idx="6">
                  <c:v>8</c:v>
                </c:pt>
                <c:pt idx="7">
                  <c:v>15</c:v>
                </c:pt>
                <c:pt idx="8">
                  <c:v>18</c:v>
                </c:pt>
                <c:pt idx="9">
                  <c:v>10</c:v>
                </c:pt>
                <c:pt idx="10">
                  <c:v>5</c:v>
                </c:pt>
                <c:pt idx="11">
                  <c:v>12</c:v>
                </c:pt>
                <c:pt idx="12">
                  <c:v>11</c:v>
                </c:pt>
                <c:pt idx="13">
                  <c:v>8</c:v>
                </c:pt>
                <c:pt idx="14">
                  <c:v>7</c:v>
                </c:pt>
                <c:pt idx="15">
                  <c:v>16</c:v>
                </c:pt>
                <c:pt idx="16">
                  <c:v>12</c:v>
                </c:pt>
                <c:pt idx="17">
                  <c:v>14</c:v>
                </c:pt>
                <c:pt idx="18">
                  <c:v>6</c:v>
                </c:pt>
                <c:pt idx="19">
                  <c:v>18</c:v>
                </c:pt>
                <c:pt idx="20">
                  <c:v>11</c:v>
                </c:pt>
                <c:pt idx="21">
                  <c:v>9</c:v>
                </c:pt>
                <c:pt idx="22">
                  <c:v>10</c:v>
                </c:pt>
                <c:pt idx="23">
                  <c:v>13</c:v>
                </c:pt>
                <c:pt idx="24">
                  <c:v>15</c:v>
                </c:pt>
                <c:pt idx="25">
                  <c:v>8</c:v>
                </c:pt>
                <c:pt idx="26">
                  <c:v>12</c:v>
                </c:pt>
                <c:pt idx="27">
                  <c:v>16</c:v>
                </c:pt>
                <c:pt idx="28">
                  <c:v>14</c:v>
                </c:pt>
                <c:pt idx="29">
                  <c:v>11</c:v>
                </c:pt>
                <c:pt idx="30">
                  <c:v>12</c:v>
                </c:pt>
                <c:pt idx="31">
                  <c:v>14</c:v>
                </c:pt>
                <c:pt idx="32">
                  <c:v>8</c:v>
                </c:pt>
                <c:pt idx="33">
                  <c:v>10</c:v>
                </c:pt>
                <c:pt idx="34">
                  <c:v>15</c:v>
                </c:pt>
                <c:pt idx="35">
                  <c:v>11</c:v>
                </c:pt>
                <c:pt idx="36">
                  <c:v>7</c:v>
                </c:pt>
                <c:pt idx="37">
                  <c:v>18</c:v>
                </c:pt>
                <c:pt idx="38">
                  <c:v>12</c:v>
                </c:pt>
                <c:pt idx="39">
                  <c:v>10</c:v>
                </c:pt>
                <c:pt idx="40">
                  <c:v>9</c:v>
                </c:pt>
                <c:pt idx="41">
                  <c:v>14</c:v>
                </c:pt>
                <c:pt idx="42">
                  <c:v>11</c:v>
                </c:pt>
                <c:pt idx="43">
                  <c:v>16</c:v>
                </c:pt>
                <c:pt idx="44">
                  <c:v>6</c:v>
                </c:pt>
                <c:pt idx="45">
                  <c:v>12</c:v>
                </c:pt>
                <c:pt idx="46">
                  <c:v>17</c:v>
                </c:pt>
                <c:pt idx="47">
                  <c:v>8</c:v>
                </c:pt>
                <c:pt idx="48">
                  <c:v>9</c:v>
                </c:pt>
                <c:pt idx="49">
                  <c:v>14</c:v>
                </c:pt>
                <c:pt idx="50">
                  <c:v>13</c:v>
                </c:pt>
                <c:pt idx="51">
                  <c:v>12</c:v>
                </c:pt>
                <c:pt idx="52">
                  <c:v>10</c:v>
                </c:pt>
                <c:pt idx="53">
                  <c:v>15</c:v>
                </c:pt>
                <c:pt idx="54">
                  <c:v>14</c:v>
                </c:pt>
                <c:pt idx="55">
                  <c:v>11</c:v>
                </c:pt>
                <c:pt idx="56">
                  <c:v>7</c:v>
                </c:pt>
                <c:pt idx="57">
                  <c:v>16</c:v>
                </c:pt>
                <c:pt idx="58">
                  <c:v>13</c:v>
                </c:pt>
                <c:pt idx="59">
                  <c:v>10</c:v>
                </c:pt>
                <c:pt idx="60">
                  <c:v>9</c:v>
                </c:pt>
                <c:pt idx="61">
                  <c:v>17</c:v>
                </c:pt>
                <c:pt idx="62">
                  <c:v>11</c:v>
                </c:pt>
                <c:pt idx="63">
                  <c:v>8</c:v>
                </c:pt>
                <c:pt idx="64">
                  <c:v>12</c:v>
                </c:pt>
                <c:pt idx="65">
                  <c:v>13</c:v>
                </c:pt>
                <c:pt idx="66">
                  <c:v>14</c:v>
                </c:pt>
                <c:pt idx="67">
                  <c:v>16</c:v>
                </c:pt>
                <c:pt idx="68">
                  <c:v>10</c:v>
                </c:pt>
                <c:pt idx="69">
                  <c:v>15</c:v>
                </c:pt>
                <c:pt idx="70">
                  <c:v>12</c:v>
                </c:pt>
                <c:pt idx="71">
                  <c:v>11</c:v>
                </c:pt>
                <c:pt idx="72">
                  <c:v>9</c:v>
                </c:pt>
                <c:pt idx="73">
                  <c:v>13</c:v>
                </c:pt>
                <c:pt idx="74">
                  <c:v>16</c:v>
                </c:pt>
                <c:pt idx="75">
                  <c:v>15</c:v>
                </c:pt>
                <c:pt idx="76">
                  <c:v>6</c:v>
                </c:pt>
                <c:pt idx="77">
                  <c:v>18</c:v>
                </c:pt>
                <c:pt idx="78">
                  <c:v>14</c:v>
                </c:pt>
                <c:pt idx="79">
                  <c:v>13</c:v>
                </c:pt>
                <c:pt idx="80">
                  <c:v>12</c:v>
                </c:pt>
                <c:pt idx="81">
                  <c:v>16</c:v>
                </c:pt>
                <c:pt idx="82">
                  <c:v>15</c:v>
                </c:pt>
                <c:pt idx="83">
                  <c:v>10</c:v>
                </c:pt>
                <c:pt idx="84">
                  <c:v>14</c:v>
                </c:pt>
                <c:pt idx="85">
                  <c:v>12</c:v>
                </c:pt>
                <c:pt idx="86">
                  <c:v>13</c:v>
                </c:pt>
                <c:pt idx="87">
                  <c:v>11</c:v>
                </c:pt>
                <c:pt idx="88">
                  <c:v>8</c:v>
                </c:pt>
                <c:pt idx="8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D9-45CE-BA45-D3D51DF11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155664"/>
        <c:axId val="2057147504"/>
      </c:scatterChart>
      <c:valAx>
        <c:axId val="205715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147504"/>
        <c:crosses val="autoZero"/>
        <c:crossBetween val="midCat"/>
      </c:valAx>
      <c:valAx>
        <c:axId val="205714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15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60000"/>
                    <a:lumOff val="40000"/>
                  </a:schemeClr>
                </a:solidFill>
              </a:rPr>
              <a:t>Profit</a:t>
            </a:r>
            <a:r>
              <a:rPr lang="en-US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Margin By Product</a:t>
            </a:r>
            <a:endParaRPr lang="en-US">
              <a:solidFill>
                <a:schemeClr val="accent2">
                  <a:lumMod val="60000"/>
                  <a:lumOff val="40000"/>
                </a:schemeClr>
              </a:solidFill>
            </a:endParaRPr>
          </a:p>
        </c:rich>
      </c:tx>
      <c:layout>
        <c:manualLayout>
          <c:xMode val="edge"/>
          <c:yMode val="edge"/>
          <c:x val="0.35582159734323898"/>
          <c:y val="5.963780779796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Product X</c:v>
              </c:pt>
              <c:pt idx="1">
                <c:v>Product Y</c:v>
              </c:pt>
              <c:pt idx="2">
                <c:v>Product Z</c:v>
              </c:pt>
            </c:strLit>
          </c:cat>
          <c:val>
            <c:numLit>
              <c:formatCode>General</c:formatCode>
              <c:ptCount val="3"/>
              <c:pt idx="0">
                <c:v>647</c:v>
              </c:pt>
              <c:pt idx="1">
                <c:v>752</c:v>
              </c:pt>
              <c:pt idx="2">
                <c:v>749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B09-425B-8A24-C7B41A1233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904672"/>
        <c:axId val="633926224"/>
      </c:lineChart>
      <c:catAx>
        <c:axId val="5499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926224"/>
        <c:crosses val="autoZero"/>
        <c:auto val="1"/>
        <c:lblAlgn val="ctr"/>
        <c:lblOffset val="100"/>
        <c:noMultiLvlLbl val="0"/>
      </c:catAx>
      <c:valAx>
        <c:axId val="63392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046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628519</xdr:colOff>
      <xdr:row>0</xdr:row>
      <xdr:rowOff>0</xdr:rowOff>
    </xdr:from>
    <xdr:ext cx="543022" cy="341363"/>
    <xdr:pic>
      <xdr:nvPicPr>
        <xdr:cNvPr id="2" name="Graphic 1" descr="Bar graph with upward trend">
          <a:extLst>
            <a:ext uri="{FF2B5EF4-FFF2-40B4-BE49-F238E27FC236}">
              <a16:creationId xmlns:a16="http://schemas.microsoft.com/office/drawing/2014/main" id="{5FC2E04C-722B-46C6-929F-FB4C681F7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91869" y="4787900"/>
          <a:ext cx="543022" cy="341363"/>
        </a:xfrm>
        <a:prstGeom prst="rect">
          <a:avLst/>
        </a:prstGeom>
      </xdr:spPr>
    </xdr:pic>
    <xdr:clientData/>
  </xdr:oneCellAnchor>
  <xdr:twoCellAnchor>
    <xdr:from>
      <xdr:col>1</xdr:col>
      <xdr:colOff>1</xdr:colOff>
      <xdr:row>6</xdr:row>
      <xdr:rowOff>1</xdr:rowOff>
    </xdr:from>
    <xdr:to>
      <xdr:col>7</xdr:col>
      <xdr:colOff>7744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C1D57C-02FC-4918-A9C5-47E5AC39A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5</xdr:row>
      <xdr:rowOff>185853</xdr:rowOff>
    </xdr:from>
    <xdr:to>
      <xdr:col>14</xdr:col>
      <xdr:colOff>7744</xdr:colOff>
      <xdr:row>19</xdr:row>
      <xdr:rowOff>178110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261379-C68A-47AD-A63B-7BF60721B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5</xdr:row>
      <xdr:rowOff>185853</xdr:rowOff>
    </xdr:from>
    <xdr:to>
      <xdr:col>21</xdr:col>
      <xdr:colOff>0</xdr:colOff>
      <xdr:row>20</xdr:row>
      <xdr:rowOff>7743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5FC6BD-80FD-442B-B47B-4863451F5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</xdr:colOff>
      <xdr:row>22</xdr:row>
      <xdr:rowOff>0</xdr:rowOff>
    </xdr:from>
    <xdr:to>
      <xdr:col>7</xdr:col>
      <xdr:colOff>0</xdr:colOff>
      <xdr:row>36</xdr:row>
      <xdr:rowOff>7743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FB6239-1CB3-4BCB-8F26-6A011DEFC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14</xdr:col>
      <xdr:colOff>15488</xdr:colOff>
      <xdr:row>36</xdr:row>
      <xdr:rowOff>-1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27BDFC-9839-4096-81CB-C9828CCE3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21</xdr:row>
      <xdr:rowOff>185852</xdr:rowOff>
    </xdr:from>
    <xdr:to>
      <xdr:col>21</xdr:col>
      <xdr:colOff>7744</xdr:colOff>
      <xdr:row>36</xdr:row>
      <xdr:rowOff>15486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5F988C-3EC0-4F0D-9EF4-81DF31652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627255</xdr:colOff>
      <xdr:row>37</xdr:row>
      <xdr:rowOff>185853</xdr:rowOff>
    </xdr:from>
    <xdr:to>
      <xdr:col>7</xdr:col>
      <xdr:colOff>7744</xdr:colOff>
      <xdr:row>52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4EA2A0-7E22-450B-AAB2-BEDF23197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38</xdr:row>
      <xdr:rowOff>0</xdr:rowOff>
    </xdr:from>
    <xdr:to>
      <xdr:col>14</xdr:col>
      <xdr:colOff>0</xdr:colOff>
      <xdr:row>52</xdr:row>
      <xdr:rowOff>7744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718F385-54D0-4E50-99DB-C95970220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627255</xdr:colOff>
      <xdr:row>38</xdr:row>
      <xdr:rowOff>0</xdr:rowOff>
    </xdr:from>
    <xdr:to>
      <xdr:col>21</xdr:col>
      <xdr:colOff>7743</xdr:colOff>
      <xdr:row>51</xdr:row>
      <xdr:rowOff>178110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055AB7A-4B26-45CC-9E9C-6F6BB4FF4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</xdr:colOff>
      <xdr:row>53</xdr:row>
      <xdr:rowOff>185852</xdr:rowOff>
    </xdr:from>
    <xdr:to>
      <xdr:col>7</xdr:col>
      <xdr:colOff>0</xdr:colOff>
      <xdr:row>68</xdr:row>
      <xdr:rowOff>23230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490F2A-FBA6-4958-ADB7-0BEFCE07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0</xdr:colOff>
      <xdr:row>53</xdr:row>
      <xdr:rowOff>185852</xdr:rowOff>
    </xdr:from>
    <xdr:to>
      <xdr:col>14</xdr:col>
      <xdr:colOff>7744</xdr:colOff>
      <xdr:row>68</xdr:row>
      <xdr:rowOff>38719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DEBDAEB-FECD-4E97-B0CB-53E364DC0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627255</xdr:colOff>
      <xdr:row>54</xdr:row>
      <xdr:rowOff>0</xdr:rowOff>
    </xdr:from>
    <xdr:to>
      <xdr:col>21</xdr:col>
      <xdr:colOff>7743</xdr:colOff>
      <xdr:row>68</xdr:row>
      <xdr:rowOff>7744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8CB4F18-580A-49A3-8648-E69926469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0:I110" totalsRowShown="0">
  <tableColumns count="9">
    <tableColumn id="1" xr3:uid="{00000000-0010-0000-0000-000001000000}" name="Date" dataDxfId="8"/>
    <tableColumn id="2" xr3:uid="{00000000-0010-0000-0000-000002000000}" name="Region" dataDxfId="7"/>
    <tableColumn id="3" xr3:uid="{00000000-0010-0000-0000-000003000000}" name="Salesperson" dataDxfId="6"/>
    <tableColumn id="4" xr3:uid="{00000000-0010-0000-0000-000004000000}" name="Product" dataDxfId="5"/>
    <tableColumn id="5" xr3:uid="{00000000-0010-0000-0000-000005000000}" name="Quantity Sold" dataDxfId="4"/>
    <tableColumn id="6" xr3:uid="{00000000-0010-0000-0000-000006000000}" name="Sales Amount" dataDxfId="3"/>
    <tableColumn id="7" xr3:uid="{00000000-0010-0000-0000-000007000000}" name="Discount (%)" dataDxfId="2"/>
    <tableColumn id="8" xr3:uid="{00000000-0010-0000-0000-000008000000}" name="Profit Margin (%)" dataDxfId="1"/>
    <tableColumn id="9" xr3:uid="{00000000-0010-0000-0000-000009000000}" name="Total Sales Amount" dataDxfId="0">
      <calculatedColumnFormula>E21*F21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0"/>
  <sheetViews>
    <sheetView tabSelected="1" zoomScale="82" zoomScaleNormal="55" workbookViewId="0">
      <selection activeCell="A71" sqref="A71:XFD79"/>
    </sheetView>
  </sheetViews>
  <sheetFormatPr defaultColWidth="0" defaultRowHeight="14.5" zeroHeight="1"/>
  <cols>
    <col min="1" max="22" width="9" customWidth="1"/>
    <col min="23" max="30" width="9" hidden="1" customWidth="1"/>
    <col min="31" max="36" width="0" hidden="1" customWidth="1"/>
    <col min="37" max="16384" width="9" hidden="1"/>
  </cols>
  <sheetData>
    <row r="1" spans="1:22" ht="14.5" customHeight="1">
      <c r="A1" s="18"/>
      <c r="B1" s="18"/>
      <c r="C1" s="18"/>
      <c r="D1" s="29" t="s">
        <v>75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3" t="s">
        <v>69</v>
      </c>
      <c r="U1" s="24"/>
      <c r="V1" s="25"/>
    </row>
    <row r="2" spans="1:22" ht="14.5" customHeight="1">
      <c r="A2" s="18"/>
      <c r="B2" s="18"/>
      <c r="C2" s="1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6"/>
      <c r="U2" s="27"/>
      <c r="V2" s="28"/>
    </row>
    <row r="3" spans="1:22" ht="21">
      <c r="A3" s="19" t="s">
        <v>70</v>
      </c>
      <c r="B3" s="20"/>
      <c r="C3" s="21"/>
      <c r="D3" s="17"/>
      <c r="E3" s="19" t="s">
        <v>72</v>
      </c>
      <c r="F3" s="20"/>
      <c r="G3" s="21"/>
      <c r="H3" s="17"/>
      <c r="I3" s="17"/>
      <c r="J3" s="30" t="s">
        <v>74</v>
      </c>
      <c r="K3" s="31"/>
      <c r="L3" s="31"/>
      <c r="M3" s="32"/>
      <c r="N3" s="17"/>
      <c r="O3" s="17"/>
      <c r="P3" s="30" t="s">
        <v>71</v>
      </c>
      <c r="Q3" s="31"/>
      <c r="R3" s="32"/>
      <c r="S3" s="17"/>
      <c r="T3" s="19" t="s">
        <v>73</v>
      </c>
      <c r="U3" s="20"/>
      <c r="V3" s="21"/>
    </row>
    <row r="4" spans="1:22" ht="21">
      <c r="A4" s="22">
        <f>COUNTA(Class!C21:C110)</f>
        <v>90</v>
      </c>
      <c r="B4" s="22"/>
      <c r="C4" s="22"/>
      <c r="D4" s="17"/>
      <c r="E4" s="19">
        <f>MAX(Class!F21:F110)</f>
        <v>5000</v>
      </c>
      <c r="F4" s="20"/>
      <c r="G4" s="21"/>
      <c r="H4" s="17"/>
      <c r="I4" s="17"/>
      <c r="J4" s="30" t="s">
        <v>21</v>
      </c>
      <c r="K4" s="31"/>
      <c r="L4" s="31"/>
      <c r="M4" s="32"/>
      <c r="N4" s="17"/>
      <c r="O4" s="17"/>
      <c r="P4" s="19">
        <f>MIN(Class!F21:F110)</f>
        <v>2000</v>
      </c>
      <c r="Q4" s="20"/>
      <c r="R4" s="21"/>
      <c r="S4" s="17"/>
      <c r="T4" s="22">
        <f>SUM(Class!F21:F110)</f>
        <v>302200</v>
      </c>
      <c r="U4" s="22"/>
      <c r="V4" s="22"/>
    </row>
    <row r="5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>
      <c r="A7" s="2"/>
      <c r="H7" s="2"/>
      <c r="O7" s="2"/>
      <c r="V7" s="2"/>
    </row>
    <row r="8" spans="1:22">
      <c r="A8" s="2"/>
      <c r="H8" s="2"/>
      <c r="O8" s="2"/>
      <c r="V8" s="2"/>
    </row>
    <row r="9" spans="1:22">
      <c r="A9" s="2"/>
      <c r="H9" s="2"/>
      <c r="O9" s="2"/>
      <c r="V9" s="2"/>
    </row>
    <row r="10" spans="1:22">
      <c r="A10" s="2"/>
      <c r="H10" s="2"/>
      <c r="O10" s="2"/>
      <c r="V10" s="2"/>
    </row>
    <row r="11" spans="1:22">
      <c r="A11" s="2"/>
      <c r="H11" s="2"/>
      <c r="O11" s="2"/>
      <c r="V11" s="2"/>
    </row>
    <row r="12" spans="1:22">
      <c r="A12" s="2"/>
      <c r="H12" s="2"/>
      <c r="O12" s="2"/>
      <c r="V12" s="2"/>
    </row>
    <row r="13" spans="1:22">
      <c r="A13" s="2"/>
      <c r="H13" s="2"/>
      <c r="O13" s="2"/>
      <c r="V13" s="2"/>
    </row>
    <row r="14" spans="1:22">
      <c r="A14" s="2"/>
      <c r="H14" s="2"/>
      <c r="O14" s="2"/>
      <c r="V14" s="2"/>
    </row>
    <row r="15" spans="1:22">
      <c r="A15" s="2"/>
      <c r="H15" s="2"/>
      <c r="O15" s="2"/>
      <c r="V15" s="2"/>
    </row>
    <row r="16" spans="1:22">
      <c r="A16" s="2"/>
      <c r="H16" s="2"/>
      <c r="O16" s="2"/>
      <c r="V16" s="2"/>
    </row>
    <row r="17" spans="1:22">
      <c r="A17" s="2"/>
      <c r="H17" s="2"/>
      <c r="O17" s="2"/>
      <c r="V17" s="2"/>
    </row>
    <row r="18" spans="1:22">
      <c r="A18" s="2"/>
      <c r="H18" s="2"/>
      <c r="O18" s="2"/>
      <c r="V18" s="2"/>
    </row>
    <row r="19" spans="1:22">
      <c r="A19" s="2"/>
      <c r="H19" s="2"/>
      <c r="O19" s="2"/>
      <c r="V19" s="2"/>
    </row>
    <row r="20" spans="1:22">
      <c r="A20" s="2"/>
      <c r="H20" s="2"/>
      <c r="O20" s="2"/>
      <c r="V20" s="2"/>
    </row>
    <row r="2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>
      <c r="A23" s="2"/>
      <c r="H23" s="2"/>
      <c r="O23" s="2"/>
      <c r="V23" s="2"/>
    </row>
    <row r="24" spans="1:22">
      <c r="A24" s="2"/>
      <c r="H24" s="2"/>
      <c r="O24" s="2"/>
      <c r="V24" s="2"/>
    </row>
    <row r="25" spans="1:22">
      <c r="A25" s="2"/>
      <c r="H25" s="2"/>
      <c r="O25" s="2"/>
      <c r="V25" s="2"/>
    </row>
    <row r="26" spans="1:22">
      <c r="A26" s="2"/>
      <c r="H26" s="2"/>
      <c r="O26" s="2"/>
      <c r="V26" s="2"/>
    </row>
    <row r="27" spans="1:22">
      <c r="A27" s="2"/>
      <c r="H27" s="2"/>
      <c r="O27" s="2"/>
      <c r="V27" s="2"/>
    </row>
    <row r="28" spans="1:22">
      <c r="A28" s="2"/>
      <c r="H28" s="2"/>
      <c r="O28" s="2"/>
      <c r="V28" s="2"/>
    </row>
    <row r="29" spans="1:22">
      <c r="A29" s="2"/>
      <c r="H29" s="2"/>
      <c r="O29" s="2"/>
      <c r="V29" s="2"/>
    </row>
    <row r="30" spans="1:22">
      <c r="A30" s="2"/>
      <c r="H30" s="2"/>
      <c r="O30" s="2"/>
      <c r="V30" s="2"/>
    </row>
    <row r="31" spans="1:22">
      <c r="A31" s="2"/>
      <c r="H31" s="2"/>
      <c r="O31" s="2"/>
      <c r="V31" s="2"/>
    </row>
    <row r="32" spans="1:22">
      <c r="A32" s="2"/>
      <c r="H32" s="2"/>
      <c r="O32" s="2"/>
      <c r="V32" s="2"/>
    </row>
    <row r="33" spans="1:22">
      <c r="A33" s="2"/>
      <c r="H33" s="2"/>
      <c r="O33" s="2"/>
      <c r="V33" s="2"/>
    </row>
    <row r="34" spans="1:22">
      <c r="A34" s="2"/>
      <c r="H34" s="2"/>
      <c r="O34" s="2"/>
      <c r="V34" s="2"/>
    </row>
    <row r="35" spans="1:22">
      <c r="A35" s="2"/>
      <c r="H35" s="2"/>
      <c r="O35" s="2"/>
      <c r="V35" s="2"/>
    </row>
    <row r="36" spans="1:22">
      <c r="A36" s="2"/>
      <c r="H36" s="2"/>
      <c r="O36" s="2"/>
      <c r="V36" s="2"/>
    </row>
    <row r="37" spans="1:2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>
      <c r="A39" s="2"/>
      <c r="H39" s="2"/>
      <c r="O39" s="2"/>
      <c r="V39" s="2"/>
    </row>
    <row r="40" spans="1:22">
      <c r="A40" s="2"/>
      <c r="H40" s="2"/>
      <c r="O40" s="2"/>
      <c r="V40" s="2"/>
    </row>
    <row r="41" spans="1:22">
      <c r="A41" s="2"/>
      <c r="H41" s="2"/>
      <c r="O41" s="2"/>
      <c r="V41" s="2"/>
    </row>
    <row r="42" spans="1:22">
      <c r="A42" s="2"/>
      <c r="H42" s="2"/>
      <c r="O42" s="2"/>
      <c r="V42" s="2"/>
    </row>
    <row r="43" spans="1:22">
      <c r="A43" s="2"/>
      <c r="H43" s="2"/>
      <c r="O43" s="2"/>
      <c r="V43" s="2"/>
    </row>
    <row r="44" spans="1:22">
      <c r="A44" s="2"/>
      <c r="H44" s="2"/>
      <c r="O44" s="2"/>
      <c r="V44" s="2"/>
    </row>
    <row r="45" spans="1:22">
      <c r="A45" s="2"/>
      <c r="H45" s="2"/>
      <c r="O45" s="2"/>
      <c r="V45" s="2"/>
    </row>
    <row r="46" spans="1:22">
      <c r="A46" s="2"/>
      <c r="H46" s="2"/>
      <c r="O46" s="2"/>
      <c r="V46" s="2"/>
    </row>
    <row r="47" spans="1:22">
      <c r="A47" s="2"/>
      <c r="H47" s="2"/>
      <c r="O47" s="2"/>
      <c r="V47" s="2"/>
    </row>
    <row r="48" spans="1:22">
      <c r="A48" s="2"/>
      <c r="H48" s="2"/>
      <c r="O48" s="2"/>
      <c r="V48" s="2"/>
    </row>
    <row r="49" spans="1:22">
      <c r="A49" s="2"/>
      <c r="H49" s="2"/>
      <c r="O49" s="2"/>
      <c r="V49" s="2"/>
    </row>
    <row r="50" spans="1:22">
      <c r="A50" s="2"/>
      <c r="H50" s="2"/>
      <c r="O50" s="2"/>
      <c r="V50" s="2"/>
    </row>
    <row r="51" spans="1:22">
      <c r="A51" s="2"/>
      <c r="H51" s="2"/>
      <c r="O51" s="2"/>
      <c r="V51" s="2"/>
    </row>
    <row r="52" spans="1:22">
      <c r="A52" s="2"/>
      <c r="H52" s="2"/>
      <c r="O52" s="2"/>
      <c r="V52" s="2"/>
    </row>
    <row r="53" spans="1:2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>
      <c r="A55" s="2"/>
      <c r="H55" s="2"/>
      <c r="O55" s="2"/>
      <c r="V55" s="2"/>
    </row>
    <row r="56" spans="1:22">
      <c r="A56" s="2"/>
      <c r="H56" s="2"/>
      <c r="O56" s="2"/>
      <c r="V56" s="2"/>
    </row>
    <row r="57" spans="1:22">
      <c r="A57" s="2"/>
      <c r="H57" s="2"/>
      <c r="O57" s="2"/>
      <c r="V57" s="2"/>
    </row>
    <row r="58" spans="1:22">
      <c r="A58" s="2"/>
      <c r="H58" s="2"/>
      <c r="O58" s="2"/>
      <c r="V58" s="2"/>
    </row>
    <row r="59" spans="1:22">
      <c r="A59" s="2"/>
      <c r="H59" s="2"/>
      <c r="O59" s="2"/>
      <c r="V59" s="2"/>
    </row>
    <row r="60" spans="1:22">
      <c r="A60" s="2"/>
      <c r="H60" s="2"/>
      <c r="O60" s="2"/>
      <c r="V60" s="2"/>
    </row>
    <row r="61" spans="1:22">
      <c r="A61" s="2"/>
      <c r="H61" s="2"/>
      <c r="O61" s="2"/>
      <c r="V61" s="2"/>
    </row>
    <row r="62" spans="1:22">
      <c r="A62" s="2"/>
      <c r="H62" s="2"/>
      <c r="O62" s="2"/>
      <c r="V62" s="2"/>
    </row>
    <row r="63" spans="1:22">
      <c r="A63" s="2"/>
      <c r="H63" s="2"/>
      <c r="O63" s="2"/>
      <c r="V63" s="2"/>
    </row>
    <row r="64" spans="1:22">
      <c r="A64" s="2"/>
      <c r="H64" s="2"/>
      <c r="O64" s="2"/>
      <c r="V64" s="2"/>
    </row>
    <row r="65" spans="1:22">
      <c r="A65" s="2"/>
      <c r="H65" s="2"/>
      <c r="O65" s="2"/>
      <c r="V65" s="2"/>
    </row>
    <row r="66" spans="1:22">
      <c r="A66" s="2"/>
      <c r="H66" s="2"/>
      <c r="O66" s="2"/>
      <c r="V66" s="2"/>
    </row>
    <row r="67" spans="1:22">
      <c r="A67" s="2"/>
      <c r="H67" s="2"/>
      <c r="O67" s="2"/>
      <c r="V67" s="2"/>
    </row>
    <row r="68" spans="1:22">
      <c r="A68" s="2"/>
      <c r="H68" s="2"/>
      <c r="O68" s="2"/>
      <c r="V68" s="2"/>
    </row>
    <row r="69" spans="1:2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</sheetData>
  <mergeCells count="13">
    <mergeCell ref="A1:C2"/>
    <mergeCell ref="A3:C3"/>
    <mergeCell ref="A4:C4"/>
    <mergeCell ref="T1:V2"/>
    <mergeCell ref="T3:V3"/>
    <mergeCell ref="T4:V4"/>
    <mergeCell ref="D1:S2"/>
    <mergeCell ref="E3:G3"/>
    <mergeCell ref="E4:G4"/>
    <mergeCell ref="P3:R3"/>
    <mergeCell ref="P4:R4"/>
    <mergeCell ref="J3:M3"/>
    <mergeCell ref="J4:M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4"/>
  <sheetViews>
    <sheetView workbookViewId="0">
      <pane ySplit="1" topLeftCell="A13" activePane="bottomLeft" state="frozen"/>
      <selection pane="bottomLeft" activeCell="AK38" sqref="AK38"/>
    </sheetView>
  </sheetViews>
  <sheetFormatPr defaultColWidth="9" defaultRowHeight="14.5"/>
  <cols>
    <col min="1" max="1" width="9.453125" customWidth="1"/>
    <col min="2" max="2" width="8.453125" customWidth="1"/>
    <col min="3" max="3" width="12.81640625" customWidth="1"/>
    <col min="4" max="4" width="9.453125" customWidth="1"/>
    <col min="5" max="5" width="14.1796875" customWidth="1"/>
    <col min="6" max="6" width="14.26953125" customWidth="1"/>
    <col min="7" max="7" width="13.36328125" customWidth="1"/>
    <col min="8" max="8" width="17.08984375" customWidth="1"/>
    <col min="9" max="9" width="19" customWidth="1"/>
  </cols>
  <sheetData>
    <row r="1" spans="1:10" ht="72.75" customHeight="1">
      <c r="A1" s="33" t="s">
        <v>0</v>
      </c>
      <c r="B1" s="33"/>
      <c r="C1" s="33"/>
      <c r="D1" s="33"/>
      <c r="E1" s="33"/>
      <c r="F1" s="33"/>
      <c r="G1" s="33"/>
      <c r="H1" s="34" t="s">
        <v>1</v>
      </c>
      <c r="I1" s="34"/>
      <c r="J1" s="34"/>
    </row>
    <row r="19" spans="1:17">
      <c r="K19" s="16"/>
      <c r="L19" s="16"/>
      <c r="M19" s="16"/>
      <c r="N19" s="16"/>
      <c r="O19" s="16"/>
      <c r="P19" s="16"/>
      <c r="Q19" s="16"/>
    </row>
    <row r="20" spans="1:17" ht="21">
      <c r="A20" s="5" t="s">
        <v>2</v>
      </c>
      <c r="B20" s="6" t="s">
        <v>3</v>
      </c>
      <c r="C20" s="6" t="s">
        <v>4</v>
      </c>
      <c r="D20" s="6" t="s">
        <v>5</v>
      </c>
      <c r="E20" s="6" t="s">
        <v>6</v>
      </c>
      <c r="F20" s="6" t="s">
        <v>7</v>
      </c>
      <c r="G20" s="6" t="s">
        <v>8</v>
      </c>
      <c r="H20" s="6" t="s">
        <v>9</v>
      </c>
      <c r="I20" s="9" t="s">
        <v>10</v>
      </c>
      <c r="K20" s="16"/>
      <c r="L20" s="1" t="str">
        <f>Class!A148</f>
        <v>Additional Columns for Calculation</v>
      </c>
      <c r="M20" s="1"/>
      <c r="N20" s="1"/>
      <c r="O20" s="1"/>
      <c r="P20" s="2"/>
      <c r="Q20" s="16"/>
    </row>
    <row r="21" spans="1:17">
      <c r="A21" s="7">
        <v>45292</v>
      </c>
      <c r="B21" s="8" t="s">
        <v>11</v>
      </c>
      <c r="C21" s="8" t="s">
        <v>12</v>
      </c>
      <c r="D21" s="8" t="s">
        <v>13</v>
      </c>
      <c r="E21" s="8">
        <v>150</v>
      </c>
      <c r="F21" s="8">
        <v>3000</v>
      </c>
      <c r="G21" s="8">
        <v>10</v>
      </c>
      <c r="H21" s="8">
        <v>20</v>
      </c>
      <c r="I21" s="10">
        <f>E21*F21</f>
        <v>450000</v>
      </c>
      <c r="K21" s="16"/>
      <c r="L21" s="16"/>
      <c r="M21" s="16"/>
      <c r="N21" s="16"/>
      <c r="O21" s="16"/>
      <c r="P21" s="16"/>
      <c r="Q21" s="16"/>
    </row>
    <row r="22" spans="1:17">
      <c r="A22" s="7">
        <v>45293</v>
      </c>
      <c r="B22" s="8" t="s">
        <v>14</v>
      </c>
      <c r="C22" s="8" t="s">
        <v>15</v>
      </c>
      <c r="D22" s="8" t="s">
        <v>16</v>
      </c>
      <c r="E22" s="8">
        <v>200</v>
      </c>
      <c r="F22" s="8">
        <v>4000</v>
      </c>
      <c r="G22" s="8">
        <v>15</v>
      </c>
      <c r="H22" s="8">
        <v>25</v>
      </c>
      <c r="I22" s="10">
        <f t="shared" ref="I22:I85" si="0">E22*F22</f>
        <v>800000</v>
      </c>
      <c r="K22" s="3" t="s">
        <v>65</v>
      </c>
      <c r="L22" s="16"/>
      <c r="M22" s="3" t="s">
        <v>66</v>
      </c>
      <c r="N22" s="16"/>
      <c r="O22" s="3" t="s">
        <v>67</v>
      </c>
      <c r="P22" s="16"/>
      <c r="Q22" s="3" t="s">
        <v>68</v>
      </c>
    </row>
    <row r="23" spans="1:17">
      <c r="A23" s="7">
        <v>45294</v>
      </c>
      <c r="B23" s="8" t="s">
        <v>17</v>
      </c>
      <c r="C23" s="8" t="s">
        <v>18</v>
      </c>
      <c r="D23" s="8" t="s">
        <v>13</v>
      </c>
      <c r="E23" s="8">
        <v>120</v>
      </c>
      <c r="F23" s="8">
        <v>2400</v>
      </c>
      <c r="G23" s="8">
        <v>5</v>
      </c>
      <c r="H23" s="8">
        <v>18</v>
      </c>
      <c r="I23" s="10">
        <f t="shared" si="0"/>
        <v>288000</v>
      </c>
      <c r="K23" s="4" cm="1">
        <f t="array" ref="K23:K112">Class!E21:E110*Class!F21:F110</f>
        <v>450000</v>
      </c>
      <c r="L23" s="16"/>
      <c r="M23" s="4" cm="1">
        <f t="array" ref="M23:M112">Class!F21:F110*(Class!H21:H110/100)</f>
        <v>600</v>
      </c>
      <c r="N23" s="16"/>
      <c r="O23" s="4" cm="1">
        <f t="array" ref="O23:O112">Class!F21:F110-(Class!F21:F110*(Class!G21:G110/100))</f>
        <v>2700</v>
      </c>
      <c r="P23" s="16"/>
      <c r="Q23" s="4" cm="1">
        <f t="array" ref="Q23:Q112">Class!I21:I110*(Class!H21:H110/100)</f>
        <v>90000</v>
      </c>
    </row>
    <row r="24" spans="1:17">
      <c r="A24" s="7">
        <v>45295</v>
      </c>
      <c r="B24" s="8" t="s">
        <v>19</v>
      </c>
      <c r="C24" s="8" t="s">
        <v>20</v>
      </c>
      <c r="D24" s="8" t="s">
        <v>21</v>
      </c>
      <c r="E24" s="8">
        <v>250</v>
      </c>
      <c r="F24" s="8">
        <v>5000</v>
      </c>
      <c r="G24" s="8">
        <v>20</v>
      </c>
      <c r="H24" s="8">
        <v>30</v>
      </c>
      <c r="I24" s="10">
        <f t="shared" si="0"/>
        <v>1250000</v>
      </c>
      <c r="K24" s="4">
        <v>800000</v>
      </c>
      <c r="L24" s="16"/>
      <c r="M24" s="4">
        <v>1000</v>
      </c>
      <c r="N24" s="16"/>
      <c r="O24" s="4">
        <v>3400</v>
      </c>
      <c r="P24" s="16"/>
      <c r="Q24" s="4">
        <v>200000</v>
      </c>
    </row>
    <row r="25" spans="1:17">
      <c r="A25" s="7">
        <v>45296</v>
      </c>
      <c r="B25" s="8" t="s">
        <v>11</v>
      </c>
      <c r="C25" s="8" t="s">
        <v>12</v>
      </c>
      <c r="D25" s="8" t="s">
        <v>16</v>
      </c>
      <c r="E25" s="8">
        <v>100</v>
      </c>
      <c r="F25" s="8">
        <v>2000</v>
      </c>
      <c r="G25" s="8">
        <v>10</v>
      </c>
      <c r="H25" s="8">
        <v>22</v>
      </c>
      <c r="I25" s="10">
        <f t="shared" si="0"/>
        <v>200000</v>
      </c>
      <c r="K25" s="4">
        <v>288000</v>
      </c>
      <c r="L25" s="16"/>
      <c r="M25" s="4">
        <v>432</v>
      </c>
      <c r="N25" s="16"/>
      <c r="O25" s="4">
        <v>2280</v>
      </c>
      <c r="P25" s="16"/>
      <c r="Q25" s="4">
        <v>51840</v>
      </c>
    </row>
    <row r="26" spans="1:17">
      <c r="A26" s="7">
        <v>45297</v>
      </c>
      <c r="B26" s="8" t="s">
        <v>14</v>
      </c>
      <c r="C26" s="8" t="s">
        <v>15</v>
      </c>
      <c r="D26" s="8" t="s">
        <v>13</v>
      </c>
      <c r="E26" s="8">
        <v>180</v>
      </c>
      <c r="F26" s="8">
        <v>3600</v>
      </c>
      <c r="G26" s="8">
        <v>12</v>
      </c>
      <c r="H26" s="8">
        <v>19</v>
      </c>
      <c r="I26" s="10">
        <f t="shared" si="0"/>
        <v>648000</v>
      </c>
      <c r="K26" s="4">
        <v>1250000</v>
      </c>
      <c r="L26" s="16"/>
      <c r="M26" s="4">
        <v>1500</v>
      </c>
      <c r="N26" s="16"/>
      <c r="O26" s="4">
        <v>4000</v>
      </c>
      <c r="P26" s="16"/>
      <c r="Q26" s="4">
        <v>375000</v>
      </c>
    </row>
    <row r="27" spans="1:17">
      <c r="A27" s="7">
        <v>45298</v>
      </c>
      <c r="B27" s="8" t="s">
        <v>17</v>
      </c>
      <c r="C27" s="8" t="s">
        <v>18</v>
      </c>
      <c r="D27" s="8" t="s">
        <v>16</v>
      </c>
      <c r="E27" s="8">
        <v>150</v>
      </c>
      <c r="F27" s="8">
        <v>3000</v>
      </c>
      <c r="G27" s="8">
        <v>8</v>
      </c>
      <c r="H27" s="8">
        <v>21</v>
      </c>
      <c r="I27" s="10">
        <f t="shared" si="0"/>
        <v>450000</v>
      </c>
      <c r="K27" s="4">
        <v>200000</v>
      </c>
      <c r="L27" s="16"/>
      <c r="M27" s="4">
        <v>440</v>
      </c>
      <c r="N27" s="16"/>
      <c r="O27" s="4">
        <v>1800</v>
      </c>
      <c r="P27" s="16"/>
      <c r="Q27" s="4">
        <v>44000</v>
      </c>
    </row>
    <row r="28" spans="1:17">
      <c r="A28" s="7">
        <v>45299</v>
      </c>
      <c r="B28" s="8" t="s">
        <v>19</v>
      </c>
      <c r="C28" s="8" t="s">
        <v>20</v>
      </c>
      <c r="D28" s="8" t="s">
        <v>13</v>
      </c>
      <c r="E28" s="8">
        <v>200</v>
      </c>
      <c r="F28" s="8">
        <v>4000</v>
      </c>
      <c r="G28" s="8">
        <v>15</v>
      </c>
      <c r="H28" s="8">
        <v>27</v>
      </c>
      <c r="I28" s="10">
        <f t="shared" si="0"/>
        <v>800000</v>
      </c>
      <c r="K28" s="4">
        <v>648000</v>
      </c>
      <c r="L28" s="16"/>
      <c r="M28" s="4">
        <v>684</v>
      </c>
      <c r="N28" s="16"/>
      <c r="O28" s="4">
        <v>3168</v>
      </c>
      <c r="P28" s="16"/>
      <c r="Q28" s="4">
        <v>123120</v>
      </c>
    </row>
    <row r="29" spans="1:17">
      <c r="A29" s="7">
        <v>45300</v>
      </c>
      <c r="B29" s="8" t="s">
        <v>11</v>
      </c>
      <c r="C29" s="8" t="s">
        <v>12</v>
      </c>
      <c r="D29" s="8" t="s">
        <v>21</v>
      </c>
      <c r="E29" s="8">
        <v>170</v>
      </c>
      <c r="F29" s="8">
        <v>3400</v>
      </c>
      <c r="G29" s="8">
        <v>18</v>
      </c>
      <c r="H29" s="8">
        <v>23</v>
      </c>
      <c r="I29" s="10">
        <f t="shared" si="0"/>
        <v>578000</v>
      </c>
      <c r="K29" s="4">
        <v>450000</v>
      </c>
      <c r="L29" s="16"/>
      <c r="M29" s="4">
        <v>630</v>
      </c>
      <c r="N29" s="16"/>
      <c r="O29" s="4">
        <v>2760</v>
      </c>
      <c r="P29" s="16"/>
      <c r="Q29" s="4">
        <v>94500</v>
      </c>
    </row>
    <row r="30" spans="1:17">
      <c r="A30" s="7">
        <v>45301</v>
      </c>
      <c r="B30" s="8" t="s">
        <v>14</v>
      </c>
      <c r="C30" s="8" t="s">
        <v>15</v>
      </c>
      <c r="D30" s="8" t="s">
        <v>21</v>
      </c>
      <c r="E30" s="8">
        <v>130</v>
      </c>
      <c r="F30" s="8">
        <v>2600</v>
      </c>
      <c r="G30" s="8">
        <v>10</v>
      </c>
      <c r="H30" s="8">
        <v>20</v>
      </c>
      <c r="I30" s="10">
        <f t="shared" si="0"/>
        <v>338000</v>
      </c>
      <c r="K30" s="4">
        <v>800000</v>
      </c>
      <c r="L30" s="16"/>
      <c r="M30" s="4">
        <v>1080</v>
      </c>
      <c r="N30" s="16"/>
      <c r="O30" s="4">
        <v>3400</v>
      </c>
      <c r="P30" s="16"/>
      <c r="Q30" s="4">
        <v>216000</v>
      </c>
    </row>
    <row r="31" spans="1:17">
      <c r="A31" s="7">
        <v>45302</v>
      </c>
      <c r="B31" s="8" t="s">
        <v>17</v>
      </c>
      <c r="C31" s="8" t="s">
        <v>18</v>
      </c>
      <c r="D31" s="8" t="s">
        <v>13</v>
      </c>
      <c r="E31" s="8">
        <v>160</v>
      </c>
      <c r="F31" s="8">
        <v>3200</v>
      </c>
      <c r="G31" s="8">
        <v>5</v>
      </c>
      <c r="H31" s="8">
        <v>22</v>
      </c>
      <c r="I31" s="10">
        <f t="shared" si="0"/>
        <v>512000</v>
      </c>
      <c r="K31" s="4">
        <v>578000</v>
      </c>
      <c r="L31" s="16"/>
      <c r="M31" s="4">
        <v>782</v>
      </c>
      <c r="N31" s="16"/>
      <c r="O31" s="4">
        <v>2788</v>
      </c>
      <c r="P31" s="16"/>
      <c r="Q31" s="4">
        <v>132940</v>
      </c>
    </row>
    <row r="32" spans="1:17">
      <c r="A32" s="7">
        <v>45303</v>
      </c>
      <c r="B32" s="8" t="s">
        <v>19</v>
      </c>
      <c r="C32" s="8" t="s">
        <v>20</v>
      </c>
      <c r="D32" s="8" t="s">
        <v>16</v>
      </c>
      <c r="E32" s="8">
        <v>180</v>
      </c>
      <c r="F32" s="8">
        <v>3600</v>
      </c>
      <c r="G32" s="8">
        <v>12</v>
      </c>
      <c r="H32" s="8">
        <v>25</v>
      </c>
      <c r="I32" s="10">
        <f t="shared" si="0"/>
        <v>648000</v>
      </c>
      <c r="K32" s="4">
        <v>338000</v>
      </c>
      <c r="L32" s="16"/>
      <c r="M32" s="4">
        <v>520</v>
      </c>
      <c r="N32" s="16"/>
      <c r="O32" s="4">
        <v>2340</v>
      </c>
      <c r="P32" s="16"/>
      <c r="Q32" s="4">
        <v>67600</v>
      </c>
    </row>
    <row r="33" spans="1:17">
      <c r="A33" s="7">
        <v>45304</v>
      </c>
      <c r="B33" s="8" t="s">
        <v>11</v>
      </c>
      <c r="C33" s="8" t="s">
        <v>12</v>
      </c>
      <c r="D33" s="8" t="s">
        <v>16</v>
      </c>
      <c r="E33" s="8">
        <v>140</v>
      </c>
      <c r="F33" s="8">
        <v>2800</v>
      </c>
      <c r="G33" s="8">
        <v>11</v>
      </c>
      <c r="H33" s="8">
        <v>24</v>
      </c>
      <c r="I33" s="10">
        <f t="shared" si="0"/>
        <v>392000</v>
      </c>
      <c r="K33" s="4">
        <v>512000</v>
      </c>
      <c r="L33" s="16"/>
      <c r="M33" s="4">
        <v>704</v>
      </c>
      <c r="N33" s="16"/>
      <c r="O33" s="4">
        <v>3040</v>
      </c>
      <c r="P33" s="16"/>
      <c r="Q33" s="4">
        <v>112640</v>
      </c>
    </row>
    <row r="34" spans="1:17">
      <c r="A34" s="7">
        <v>45305</v>
      </c>
      <c r="B34" s="8" t="s">
        <v>14</v>
      </c>
      <c r="C34" s="8" t="s">
        <v>15</v>
      </c>
      <c r="D34" s="8" t="s">
        <v>13</v>
      </c>
      <c r="E34" s="8">
        <v>150</v>
      </c>
      <c r="F34" s="8">
        <v>3000</v>
      </c>
      <c r="G34" s="8">
        <v>8</v>
      </c>
      <c r="H34" s="8">
        <v>20</v>
      </c>
      <c r="I34" s="10">
        <f t="shared" si="0"/>
        <v>450000</v>
      </c>
      <c r="K34" s="4">
        <v>648000</v>
      </c>
      <c r="L34" s="16"/>
      <c r="M34" s="4">
        <v>900</v>
      </c>
      <c r="N34" s="16"/>
      <c r="O34" s="4">
        <v>3168</v>
      </c>
      <c r="P34" s="16"/>
      <c r="Q34" s="4">
        <v>162000</v>
      </c>
    </row>
    <row r="35" spans="1:17">
      <c r="A35" s="7">
        <v>45306</v>
      </c>
      <c r="B35" s="8" t="s">
        <v>17</v>
      </c>
      <c r="C35" s="8" t="s">
        <v>18</v>
      </c>
      <c r="D35" s="8" t="s">
        <v>21</v>
      </c>
      <c r="E35" s="8">
        <v>190</v>
      </c>
      <c r="F35" s="8">
        <v>3800</v>
      </c>
      <c r="G35" s="8">
        <v>7</v>
      </c>
      <c r="H35" s="8">
        <v>19</v>
      </c>
      <c r="I35" s="10">
        <f t="shared" si="0"/>
        <v>722000</v>
      </c>
      <c r="K35" s="4">
        <v>392000</v>
      </c>
      <c r="L35" s="16"/>
      <c r="M35" s="4">
        <v>672</v>
      </c>
      <c r="N35" s="16"/>
      <c r="O35" s="4">
        <v>2492</v>
      </c>
      <c r="P35" s="16"/>
      <c r="Q35" s="4">
        <v>94080</v>
      </c>
    </row>
    <row r="36" spans="1:17">
      <c r="A36" s="7">
        <v>45307</v>
      </c>
      <c r="B36" s="8" t="s">
        <v>19</v>
      </c>
      <c r="C36" s="8" t="s">
        <v>20</v>
      </c>
      <c r="D36" s="8" t="s">
        <v>21</v>
      </c>
      <c r="E36" s="8">
        <v>210</v>
      </c>
      <c r="F36" s="8">
        <v>4200</v>
      </c>
      <c r="G36" s="8">
        <v>16</v>
      </c>
      <c r="H36" s="8">
        <v>28</v>
      </c>
      <c r="I36" s="10">
        <f t="shared" si="0"/>
        <v>882000</v>
      </c>
      <c r="K36" s="4">
        <v>450000</v>
      </c>
      <c r="L36" s="16"/>
      <c r="M36" s="4">
        <v>600</v>
      </c>
      <c r="N36" s="16"/>
      <c r="O36" s="4">
        <v>2760</v>
      </c>
      <c r="P36" s="16"/>
      <c r="Q36" s="4">
        <v>90000</v>
      </c>
    </row>
    <row r="37" spans="1:17">
      <c r="A37" s="7">
        <v>45308</v>
      </c>
      <c r="B37" s="8" t="s">
        <v>11</v>
      </c>
      <c r="C37" s="8" t="s">
        <v>12</v>
      </c>
      <c r="D37" s="8" t="s">
        <v>21</v>
      </c>
      <c r="E37" s="8">
        <v>160</v>
      </c>
      <c r="F37" s="8">
        <v>3200</v>
      </c>
      <c r="G37" s="8">
        <v>12</v>
      </c>
      <c r="H37" s="8">
        <v>22</v>
      </c>
      <c r="I37" s="10">
        <f t="shared" si="0"/>
        <v>512000</v>
      </c>
      <c r="K37" s="4">
        <v>722000</v>
      </c>
      <c r="L37" s="16"/>
      <c r="M37" s="4">
        <v>722</v>
      </c>
      <c r="N37" s="16"/>
      <c r="O37" s="4">
        <v>3534</v>
      </c>
      <c r="P37" s="16"/>
      <c r="Q37" s="4">
        <v>137180</v>
      </c>
    </row>
    <row r="38" spans="1:17">
      <c r="A38" s="7">
        <v>45309</v>
      </c>
      <c r="B38" s="8" t="s">
        <v>14</v>
      </c>
      <c r="C38" s="8" t="s">
        <v>15</v>
      </c>
      <c r="D38" s="8" t="s">
        <v>16</v>
      </c>
      <c r="E38" s="8">
        <v>170</v>
      </c>
      <c r="F38" s="8">
        <v>3400</v>
      </c>
      <c r="G38" s="8">
        <v>14</v>
      </c>
      <c r="H38" s="8">
        <v>26</v>
      </c>
      <c r="I38" s="10">
        <f t="shared" si="0"/>
        <v>578000</v>
      </c>
      <c r="K38" s="4">
        <v>882000</v>
      </c>
      <c r="L38" s="16"/>
      <c r="M38" s="4">
        <v>1176</v>
      </c>
      <c r="N38" s="16"/>
      <c r="O38" s="4">
        <v>3528</v>
      </c>
      <c r="P38" s="16"/>
      <c r="Q38" s="4">
        <v>246960.00000000003</v>
      </c>
    </row>
    <row r="39" spans="1:17">
      <c r="A39" s="7">
        <v>45310</v>
      </c>
      <c r="B39" s="8" t="s">
        <v>17</v>
      </c>
      <c r="C39" s="8" t="s">
        <v>18</v>
      </c>
      <c r="D39" s="8" t="s">
        <v>13</v>
      </c>
      <c r="E39" s="8">
        <v>140</v>
      </c>
      <c r="F39" s="8">
        <v>2800</v>
      </c>
      <c r="G39" s="8">
        <v>6</v>
      </c>
      <c r="H39" s="8">
        <v>21</v>
      </c>
      <c r="I39" s="10">
        <f t="shared" si="0"/>
        <v>392000</v>
      </c>
      <c r="K39" s="4">
        <v>512000</v>
      </c>
      <c r="L39" s="16"/>
      <c r="M39" s="4">
        <v>704</v>
      </c>
      <c r="N39" s="16"/>
      <c r="O39" s="4">
        <v>2816</v>
      </c>
      <c r="P39" s="16"/>
      <c r="Q39" s="4">
        <v>112640</v>
      </c>
    </row>
    <row r="40" spans="1:17">
      <c r="A40" s="7">
        <v>45311</v>
      </c>
      <c r="B40" s="8" t="s">
        <v>19</v>
      </c>
      <c r="C40" s="8" t="s">
        <v>20</v>
      </c>
      <c r="D40" s="8" t="s">
        <v>16</v>
      </c>
      <c r="E40" s="8">
        <v>220</v>
      </c>
      <c r="F40" s="8">
        <v>4400</v>
      </c>
      <c r="G40" s="8">
        <v>18</v>
      </c>
      <c r="H40" s="8">
        <v>29</v>
      </c>
      <c r="I40" s="10">
        <f t="shared" si="0"/>
        <v>968000</v>
      </c>
      <c r="K40" s="4">
        <v>578000</v>
      </c>
      <c r="L40" s="16"/>
      <c r="M40" s="4">
        <v>884</v>
      </c>
      <c r="N40" s="16"/>
      <c r="O40" s="4">
        <v>2924</v>
      </c>
      <c r="P40" s="16"/>
      <c r="Q40" s="4">
        <v>150280</v>
      </c>
    </row>
    <row r="41" spans="1:17">
      <c r="A41" s="7">
        <v>45312</v>
      </c>
      <c r="B41" s="8" t="s">
        <v>11</v>
      </c>
      <c r="C41" s="8" t="s">
        <v>12</v>
      </c>
      <c r="D41" s="8" t="s">
        <v>13</v>
      </c>
      <c r="E41" s="8">
        <v>130</v>
      </c>
      <c r="F41" s="8">
        <v>2600</v>
      </c>
      <c r="G41" s="8">
        <v>11</v>
      </c>
      <c r="H41" s="8">
        <v>23</v>
      </c>
      <c r="I41" s="10">
        <f t="shared" si="0"/>
        <v>338000</v>
      </c>
      <c r="K41" s="4">
        <v>392000</v>
      </c>
      <c r="L41" s="16"/>
      <c r="M41" s="4">
        <v>588</v>
      </c>
      <c r="N41" s="16"/>
      <c r="O41" s="4">
        <v>2632</v>
      </c>
      <c r="P41" s="16"/>
      <c r="Q41" s="4">
        <v>82320</v>
      </c>
    </row>
    <row r="42" spans="1:17">
      <c r="A42" s="7">
        <v>45313</v>
      </c>
      <c r="B42" s="8" t="s">
        <v>14</v>
      </c>
      <c r="C42" s="8" t="s">
        <v>15</v>
      </c>
      <c r="D42" s="8" t="s">
        <v>21</v>
      </c>
      <c r="E42" s="8">
        <v>140</v>
      </c>
      <c r="F42" s="8">
        <v>2800</v>
      </c>
      <c r="G42" s="8">
        <v>9</v>
      </c>
      <c r="H42" s="8">
        <v>20</v>
      </c>
      <c r="I42" s="10">
        <f t="shared" si="0"/>
        <v>392000</v>
      </c>
      <c r="K42" s="4">
        <v>968000</v>
      </c>
      <c r="L42" s="16"/>
      <c r="M42" s="4">
        <v>1276</v>
      </c>
      <c r="N42" s="16"/>
      <c r="O42" s="4">
        <v>3608</v>
      </c>
      <c r="P42" s="16"/>
      <c r="Q42" s="4">
        <v>280720</v>
      </c>
    </row>
    <row r="43" spans="1:17">
      <c r="A43" s="7">
        <v>45314</v>
      </c>
      <c r="B43" s="8" t="s">
        <v>17</v>
      </c>
      <c r="C43" s="8" t="s">
        <v>18</v>
      </c>
      <c r="D43" s="8" t="s">
        <v>16</v>
      </c>
      <c r="E43" s="8">
        <v>190</v>
      </c>
      <c r="F43" s="8">
        <v>3800</v>
      </c>
      <c r="G43" s="8">
        <v>10</v>
      </c>
      <c r="H43" s="8">
        <v>22</v>
      </c>
      <c r="I43" s="10">
        <f t="shared" si="0"/>
        <v>722000</v>
      </c>
      <c r="K43" s="4">
        <v>338000</v>
      </c>
      <c r="L43" s="16"/>
      <c r="M43" s="4">
        <v>598</v>
      </c>
      <c r="N43" s="16"/>
      <c r="O43" s="4">
        <v>2314</v>
      </c>
      <c r="P43" s="16"/>
      <c r="Q43" s="4">
        <v>77740</v>
      </c>
    </row>
    <row r="44" spans="1:17">
      <c r="A44" s="7">
        <v>45315</v>
      </c>
      <c r="B44" s="8" t="s">
        <v>19</v>
      </c>
      <c r="C44" s="8" t="s">
        <v>20</v>
      </c>
      <c r="D44" s="8" t="s">
        <v>13</v>
      </c>
      <c r="E44" s="8">
        <v>160</v>
      </c>
      <c r="F44" s="8">
        <v>3200</v>
      </c>
      <c r="G44" s="8">
        <v>13</v>
      </c>
      <c r="H44" s="8">
        <v>26</v>
      </c>
      <c r="I44" s="10">
        <f t="shared" si="0"/>
        <v>512000</v>
      </c>
      <c r="K44" s="4">
        <v>392000</v>
      </c>
      <c r="L44" s="16"/>
      <c r="M44" s="4">
        <v>560</v>
      </c>
      <c r="N44" s="16"/>
      <c r="O44" s="4">
        <v>2548</v>
      </c>
      <c r="P44" s="16"/>
      <c r="Q44" s="4">
        <v>78400</v>
      </c>
    </row>
    <row r="45" spans="1:17">
      <c r="A45" s="7">
        <v>45316</v>
      </c>
      <c r="B45" s="8" t="s">
        <v>11</v>
      </c>
      <c r="C45" s="8" t="s">
        <v>12</v>
      </c>
      <c r="D45" s="8" t="s">
        <v>21</v>
      </c>
      <c r="E45" s="8">
        <v>180</v>
      </c>
      <c r="F45" s="8">
        <v>3600</v>
      </c>
      <c r="G45" s="8">
        <v>15</v>
      </c>
      <c r="H45" s="8">
        <v>24</v>
      </c>
      <c r="I45" s="10">
        <f t="shared" si="0"/>
        <v>648000</v>
      </c>
      <c r="K45" s="4">
        <v>722000</v>
      </c>
      <c r="L45" s="16"/>
      <c r="M45" s="4">
        <v>836</v>
      </c>
      <c r="N45" s="16"/>
      <c r="O45" s="4">
        <v>3420</v>
      </c>
      <c r="P45" s="16"/>
      <c r="Q45" s="4">
        <v>158840</v>
      </c>
    </row>
    <row r="46" spans="1:17">
      <c r="A46" s="7">
        <v>45317</v>
      </c>
      <c r="B46" s="8" t="s">
        <v>14</v>
      </c>
      <c r="C46" s="8" t="s">
        <v>15</v>
      </c>
      <c r="D46" s="8" t="s">
        <v>13</v>
      </c>
      <c r="E46" s="8">
        <v>170</v>
      </c>
      <c r="F46" s="8">
        <v>3400</v>
      </c>
      <c r="G46" s="8">
        <v>8</v>
      </c>
      <c r="H46" s="8">
        <v>21</v>
      </c>
      <c r="I46" s="10">
        <f t="shared" si="0"/>
        <v>578000</v>
      </c>
      <c r="K46" s="4">
        <v>512000</v>
      </c>
      <c r="L46" s="16"/>
      <c r="M46" s="4">
        <v>832</v>
      </c>
      <c r="N46" s="16"/>
      <c r="O46" s="4">
        <v>2784</v>
      </c>
      <c r="P46" s="16"/>
      <c r="Q46" s="4">
        <v>133120</v>
      </c>
    </row>
    <row r="47" spans="1:17">
      <c r="A47" s="7">
        <v>45318</v>
      </c>
      <c r="B47" s="8" t="s">
        <v>17</v>
      </c>
      <c r="C47" s="8" t="s">
        <v>18</v>
      </c>
      <c r="D47" s="8" t="s">
        <v>21</v>
      </c>
      <c r="E47" s="8">
        <v>200</v>
      </c>
      <c r="F47" s="8">
        <v>4000</v>
      </c>
      <c r="G47" s="8">
        <v>12</v>
      </c>
      <c r="H47" s="8">
        <v>28</v>
      </c>
      <c r="I47" s="10">
        <f t="shared" si="0"/>
        <v>800000</v>
      </c>
      <c r="K47" s="4">
        <v>648000</v>
      </c>
      <c r="L47" s="16"/>
      <c r="M47" s="4">
        <v>864</v>
      </c>
      <c r="N47" s="16"/>
      <c r="O47" s="4">
        <v>3060</v>
      </c>
      <c r="P47" s="16"/>
      <c r="Q47" s="4">
        <v>155520</v>
      </c>
    </row>
    <row r="48" spans="1:17">
      <c r="A48" s="7">
        <v>45319</v>
      </c>
      <c r="B48" s="8" t="s">
        <v>19</v>
      </c>
      <c r="C48" s="8" t="s">
        <v>20</v>
      </c>
      <c r="D48" s="8" t="s">
        <v>16</v>
      </c>
      <c r="E48" s="8">
        <v>150</v>
      </c>
      <c r="F48" s="8">
        <v>3000</v>
      </c>
      <c r="G48" s="8">
        <v>16</v>
      </c>
      <c r="H48" s="8">
        <v>25</v>
      </c>
      <c r="I48" s="10">
        <f t="shared" si="0"/>
        <v>450000</v>
      </c>
      <c r="K48" s="4">
        <v>578000</v>
      </c>
      <c r="L48" s="16"/>
      <c r="M48" s="4">
        <v>714</v>
      </c>
      <c r="N48" s="16"/>
      <c r="O48" s="4">
        <v>3128</v>
      </c>
      <c r="P48" s="16"/>
      <c r="Q48" s="4">
        <v>121380</v>
      </c>
    </row>
    <row r="49" spans="1:17">
      <c r="A49" s="7">
        <v>45320</v>
      </c>
      <c r="B49" s="8" t="s">
        <v>11</v>
      </c>
      <c r="C49" s="8" t="s">
        <v>12</v>
      </c>
      <c r="D49" s="8" t="s">
        <v>16</v>
      </c>
      <c r="E49" s="8">
        <v>110</v>
      </c>
      <c r="F49" s="8">
        <v>2200</v>
      </c>
      <c r="G49" s="8">
        <v>14</v>
      </c>
      <c r="H49" s="8">
        <v>20</v>
      </c>
      <c r="I49" s="10">
        <f t="shared" si="0"/>
        <v>242000</v>
      </c>
      <c r="K49" s="4">
        <v>800000</v>
      </c>
      <c r="L49" s="16"/>
      <c r="M49" s="4">
        <v>1120</v>
      </c>
      <c r="N49" s="16"/>
      <c r="O49" s="4">
        <v>3520</v>
      </c>
      <c r="P49" s="16"/>
      <c r="Q49" s="4">
        <v>224000.00000000003</v>
      </c>
    </row>
    <row r="50" spans="1:17">
      <c r="A50" s="7">
        <v>45321</v>
      </c>
      <c r="B50" s="8" t="s">
        <v>14</v>
      </c>
      <c r="C50" s="8" t="s">
        <v>15</v>
      </c>
      <c r="D50" s="8" t="s">
        <v>21</v>
      </c>
      <c r="E50" s="8">
        <v>180</v>
      </c>
      <c r="F50" s="8">
        <v>3600</v>
      </c>
      <c r="G50" s="8">
        <v>11</v>
      </c>
      <c r="H50" s="8">
        <v>23</v>
      </c>
      <c r="I50" s="10">
        <f t="shared" si="0"/>
        <v>648000</v>
      </c>
      <c r="K50" s="4">
        <v>450000</v>
      </c>
      <c r="L50" s="16"/>
      <c r="M50" s="4">
        <v>750</v>
      </c>
      <c r="N50" s="16"/>
      <c r="O50" s="4">
        <v>2520</v>
      </c>
      <c r="P50" s="16"/>
      <c r="Q50" s="4">
        <v>112500</v>
      </c>
    </row>
    <row r="51" spans="1:17">
      <c r="A51" s="7">
        <v>45323</v>
      </c>
      <c r="B51" s="8" t="s">
        <v>11</v>
      </c>
      <c r="C51" s="8" t="s">
        <v>12</v>
      </c>
      <c r="D51" s="8" t="s">
        <v>16</v>
      </c>
      <c r="E51" s="8">
        <v>160</v>
      </c>
      <c r="F51" s="8">
        <v>3200</v>
      </c>
      <c r="G51" s="8">
        <v>12</v>
      </c>
      <c r="H51" s="8">
        <v>22</v>
      </c>
      <c r="I51" s="10">
        <f t="shared" si="0"/>
        <v>512000</v>
      </c>
      <c r="K51" s="4">
        <v>242000</v>
      </c>
      <c r="L51" s="16"/>
      <c r="M51" s="4">
        <v>440</v>
      </c>
      <c r="N51" s="16"/>
      <c r="O51" s="4">
        <v>1892</v>
      </c>
      <c r="P51" s="16"/>
      <c r="Q51" s="4">
        <v>48400</v>
      </c>
    </row>
    <row r="52" spans="1:17">
      <c r="A52" s="7">
        <v>45324</v>
      </c>
      <c r="B52" s="8" t="s">
        <v>14</v>
      </c>
      <c r="C52" s="8" t="s">
        <v>15</v>
      </c>
      <c r="D52" s="8" t="s">
        <v>21</v>
      </c>
      <c r="E52" s="8">
        <v>140</v>
      </c>
      <c r="F52" s="8">
        <v>2800</v>
      </c>
      <c r="G52" s="8">
        <v>14</v>
      </c>
      <c r="H52" s="8">
        <v>25</v>
      </c>
      <c r="I52" s="10">
        <f t="shared" si="0"/>
        <v>392000</v>
      </c>
      <c r="K52" s="4">
        <v>648000</v>
      </c>
      <c r="L52" s="16"/>
      <c r="M52" s="4">
        <v>828</v>
      </c>
      <c r="N52" s="16"/>
      <c r="O52" s="4">
        <v>3204</v>
      </c>
      <c r="P52" s="16"/>
      <c r="Q52" s="4">
        <v>149040</v>
      </c>
    </row>
    <row r="53" spans="1:17">
      <c r="A53" s="7">
        <v>45325</v>
      </c>
      <c r="B53" s="8" t="s">
        <v>17</v>
      </c>
      <c r="C53" s="8" t="s">
        <v>18</v>
      </c>
      <c r="D53" s="8" t="s">
        <v>13</v>
      </c>
      <c r="E53" s="8">
        <v>110</v>
      </c>
      <c r="F53" s="8">
        <v>2200</v>
      </c>
      <c r="G53" s="8">
        <v>8</v>
      </c>
      <c r="H53" s="8">
        <v>20</v>
      </c>
      <c r="I53" s="10">
        <f t="shared" si="0"/>
        <v>242000</v>
      </c>
      <c r="K53" s="4">
        <v>512000</v>
      </c>
      <c r="L53" s="16"/>
      <c r="M53" s="4">
        <v>704</v>
      </c>
      <c r="N53" s="16"/>
      <c r="O53" s="4">
        <v>2816</v>
      </c>
      <c r="P53" s="16"/>
      <c r="Q53" s="4">
        <v>112640</v>
      </c>
    </row>
    <row r="54" spans="1:17">
      <c r="A54" s="7">
        <v>45326</v>
      </c>
      <c r="B54" s="8" t="s">
        <v>19</v>
      </c>
      <c r="C54" s="8" t="s">
        <v>20</v>
      </c>
      <c r="D54" s="8" t="s">
        <v>16</v>
      </c>
      <c r="E54" s="8">
        <v>230</v>
      </c>
      <c r="F54" s="8">
        <v>4600</v>
      </c>
      <c r="G54" s="8">
        <v>10</v>
      </c>
      <c r="H54" s="8">
        <v>28</v>
      </c>
      <c r="I54" s="10">
        <f t="shared" si="0"/>
        <v>1058000</v>
      </c>
      <c r="K54" s="4">
        <v>392000</v>
      </c>
      <c r="L54" s="16"/>
      <c r="M54" s="4">
        <v>700</v>
      </c>
      <c r="N54" s="16"/>
      <c r="O54" s="4">
        <v>2408</v>
      </c>
      <c r="P54" s="16"/>
      <c r="Q54" s="4">
        <v>98000</v>
      </c>
    </row>
    <row r="55" spans="1:17">
      <c r="A55" s="7">
        <v>45327</v>
      </c>
      <c r="B55" s="8" t="s">
        <v>11</v>
      </c>
      <c r="C55" s="8" t="s">
        <v>12</v>
      </c>
      <c r="D55" s="8" t="s">
        <v>21</v>
      </c>
      <c r="E55" s="8">
        <v>190</v>
      </c>
      <c r="F55" s="8">
        <v>3800</v>
      </c>
      <c r="G55" s="8">
        <v>15</v>
      </c>
      <c r="H55" s="8">
        <v>24</v>
      </c>
      <c r="I55" s="10">
        <f t="shared" si="0"/>
        <v>722000</v>
      </c>
      <c r="K55" s="4">
        <v>242000</v>
      </c>
      <c r="L55" s="16"/>
      <c r="M55" s="4">
        <v>440</v>
      </c>
      <c r="N55" s="16"/>
      <c r="O55" s="4">
        <v>2024</v>
      </c>
      <c r="P55" s="16"/>
      <c r="Q55" s="4">
        <v>48400</v>
      </c>
    </row>
    <row r="56" spans="1:17">
      <c r="A56" s="7">
        <v>45328</v>
      </c>
      <c r="B56" s="8" t="s">
        <v>14</v>
      </c>
      <c r="C56" s="8" t="s">
        <v>15</v>
      </c>
      <c r="D56" s="8" t="s">
        <v>13</v>
      </c>
      <c r="E56" s="8">
        <v>140</v>
      </c>
      <c r="F56" s="8">
        <v>2800</v>
      </c>
      <c r="G56" s="8">
        <v>11</v>
      </c>
      <c r="H56" s="8">
        <v>21</v>
      </c>
      <c r="I56" s="10">
        <f t="shared" si="0"/>
        <v>392000</v>
      </c>
      <c r="K56" s="4">
        <v>1058000</v>
      </c>
      <c r="L56" s="16"/>
      <c r="M56" s="4">
        <v>1288.0000000000002</v>
      </c>
      <c r="N56" s="16"/>
      <c r="O56" s="4">
        <v>4140</v>
      </c>
      <c r="P56" s="16"/>
      <c r="Q56" s="4">
        <v>296240</v>
      </c>
    </row>
    <row r="57" spans="1:17">
      <c r="A57" s="7">
        <v>45329</v>
      </c>
      <c r="B57" s="8" t="s">
        <v>17</v>
      </c>
      <c r="C57" s="8" t="s">
        <v>18</v>
      </c>
      <c r="D57" s="8" t="s">
        <v>16</v>
      </c>
      <c r="E57" s="8">
        <v>160</v>
      </c>
      <c r="F57" s="8">
        <v>3200</v>
      </c>
      <c r="G57" s="8">
        <v>7</v>
      </c>
      <c r="H57" s="8">
        <v>22</v>
      </c>
      <c r="I57" s="10">
        <f t="shared" si="0"/>
        <v>512000</v>
      </c>
      <c r="K57" s="4">
        <v>722000</v>
      </c>
      <c r="L57" s="16"/>
      <c r="M57" s="4">
        <v>912</v>
      </c>
      <c r="N57" s="16"/>
      <c r="O57" s="4">
        <v>3230</v>
      </c>
      <c r="P57" s="16"/>
      <c r="Q57" s="4">
        <v>173280</v>
      </c>
    </row>
    <row r="58" spans="1:17">
      <c r="A58" s="7">
        <v>45330</v>
      </c>
      <c r="B58" s="8" t="s">
        <v>19</v>
      </c>
      <c r="C58" s="8" t="s">
        <v>20</v>
      </c>
      <c r="D58" s="8" t="s">
        <v>21</v>
      </c>
      <c r="E58" s="8">
        <v>220</v>
      </c>
      <c r="F58" s="8">
        <v>4400</v>
      </c>
      <c r="G58" s="8">
        <v>18</v>
      </c>
      <c r="H58" s="8">
        <v>30</v>
      </c>
      <c r="I58" s="10">
        <f t="shared" si="0"/>
        <v>968000</v>
      </c>
      <c r="K58" s="4">
        <v>392000</v>
      </c>
      <c r="L58" s="16"/>
      <c r="M58" s="4">
        <v>588</v>
      </c>
      <c r="N58" s="16"/>
      <c r="O58" s="4">
        <v>2492</v>
      </c>
      <c r="P58" s="16"/>
      <c r="Q58" s="4">
        <v>82320</v>
      </c>
    </row>
    <row r="59" spans="1:17">
      <c r="A59" s="7">
        <v>45331</v>
      </c>
      <c r="B59" s="8" t="s">
        <v>11</v>
      </c>
      <c r="C59" s="8" t="s">
        <v>12</v>
      </c>
      <c r="D59" s="8" t="s">
        <v>13</v>
      </c>
      <c r="E59" s="8">
        <v>140</v>
      </c>
      <c r="F59" s="8">
        <v>2800</v>
      </c>
      <c r="G59" s="8">
        <v>12</v>
      </c>
      <c r="H59" s="8">
        <v>23</v>
      </c>
      <c r="I59" s="10">
        <f t="shared" si="0"/>
        <v>392000</v>
      </c>
      <c r="K59" s="4">
        <v>512000</v>
      </c>
      <c r="L59" s="16"/>
      <c r="M59" s="4">
        <v>704</v>
      </c>
      <c r="N59" s="16"/>
      <c r="O59" s="4">
        <v>2976</v>
      </c>
      <c r="P59" s="16"/>
      <c r="Q59" s="4">
        <v>112640</v>
      </c>
    </row>
    <row r="60" spans="1:17">
      <c r="A60" s="7">
        <v>45332</v>
      </c>
      <c r="B60" s="8" t="s">
        <v>14</v>
      </c>
      <c r="C60" s="8" t="s">
        <v>15</v>
      </c>
      <c r="D60" s="8" t="s">
        <v>16</v>
      </c>
      <c r="E60" s="8">
        <v>120</v>
      </c>
      <c r="F60" s="8">
        <v>2400</v>
      </c>
      <c r="G60" s="8">
        <v>10</v>
      </c>
      <c r="H60" s="8">
        <v>21</v>
      </c>
      <c r="I60" s="10">
        <f t="shared" si="0"/>
        <v>288000</v>
      </c>
      <c r="K60" s="4">
        <v>968000</v>
      </c>
      <c r="L60" s="16"/>
      <c r="M60" s="4">
        <v>1320</v>
      </c>
      <c r="N60" s="16"/>
      <c r="O60" s="4">
        <v>3608</v>
      </c>
      <c r="P60" s="16"/>
      <c r="Q60" s="4">
        <v>290400</v>
      </c>
    </row>
    <row r="61" spans="1:17">
      <c r="A61" s="7">
        <v>45333</v>
      </c>
      <c r="B61" s="8" t="s">
        <v>17</v>
      </c>
      <c r="C61" s="8" t="s">
        <v>18</v>
      </c>
      <c r="D61" s="8" t="s">
        <v>21</v>
      </c>
      <c r="E61" s="8">
        <v>170</v>
      </c>
      <c r="F61" s="8">
        <v>3400</v>
      </c>
      <c r="G61" s="8">
        <v>9</v>
      </c>
      <c r="H61" s="8">
        <v>19</v>
      </c>
      <c r="I61" s="10">
        <f t="shared" si="0"/>
        <v>578000</v>
      </c>
      <c r="K61" s="4">
        <v>392000</v>
      </c>
      <c r="L61" s="16"/>
      <c r="M61" s="4">
        <v>644</v>
      </c>
      <c r="N61" s="16"/>
      <c r="O61" s="4">
        <v>2464</v>
      </c>
      <c r="P61" s="16"/>
      <c r="Q61" s="4">
        <v>90160</v>
      </c>
    </row>
    <row r="62" spans="1:17">
      <c r="A62" s="7">
        <v>45334</v>
      </c>
      <c r="B62" s="8" t="s">
        <v>19</v>
      </c>
      <c r="C62" s="8" t="s">
        <v>20</v>
      </c>
      <c r="D62" s="8" t="s">
        <v>13</v>
      </c>
      <c r="E62" s="8">
        <v>200</v>
      </c>
      <c r="F62" s="8">
        <v>4000</v>
      </c>
      <c r="G62" s="8">
        <v>14</v>
      </c>
      <c r="H62" s="8">
        <v>26</v>
      </c>
      <c r="I62" s="10">
        <f t="shared" si="0"/>
        <v>800000</v>
      </c>
      <c r="K62" s="4">
        <v>288000</v>
      </c>
      <c r="L62" s="16"/>
      <c r="M62" s="4">
        <v>504</v>
      </c>
      <c r="N62" s="16"/>
      <c r="O62" s="4">
        <v>2160</v>
      </c>
      <c r="P62" s="16"/>
      <c r="Q62" s="4">
        <v>60480</v>
      </c>
    </row>
    <row r="63" spans="1:17">
      <c r="A63" s="7">
        <v>45335</v>
      </c>
      <c r="B63" s="8" t="s">
        <v>11</v>
      </c>
      <c r="C63" s="8" t="s">
        <v>12</v>
      </c>
      <c r="D63" s="8" t="s">
        <v>16</v>
      </c>
      <c r="E63" s="8">
        <v>150</v>
      </c>
      <c r="F63" s="8">
        <v>3000</v>
      </c>
      <c r="G63" s="8">
        <v>11</v>
      </c>
      <c r="H63" s="8">
        <v>22</v>
      </c>
      <c r="I63" s="10">
        <f t="shared" si="0"/>
        <v>450000</v>
      </c>
      <c r="K63" s="4">
        <v>578000</v>
      </c>
      <c r="L63" s="16"/>
      <c r="M63" s="4">
        <v>646</v>
      </c>
      <c r="N63" s="16"/>
      <c r="O63" s="4">
        <v>3094</v>
      </c>
      <c r="P63" s="16"/>
      <c r="Q63" s="4">
        <v>109820</v>
      </c>
    </row>
    <row r="64" spans="1:17">
      <c r="A64" s="7">
        <v>45336</v>
      </c>
      <c r="B64" s="8" t="s">
        <v>14</v>
      </c>
      <c r="C64" s="8" t="s">
        <v>15</v>
      </c>
      <c r="D64" s="8" t="s">
        <v>21</v>
      </c>
      <c r="E64" s="8">
        <v>180</v>
      </c>
      <c r="F64" s="8">
        <v>3600</v>
      </c>
      <c r="G64" s="8">
        <v>16</v>
      </c>
      <c r="H64" s="8">
        <v>28</v>
      </c>
      <c r="I64" s="10">
        <f t="shared" si="0"/>
        <v>648000</v>
      </c>
      <c r="K64" s="4">
        <v>800000</v>
      </c>
      <c r="L64" s="16"/>
      <c r="M64" s="4">
        <v>1040</v>
      </c>
      <c r="N64" s="16"/>
      <c r="O64" s="4">
        <v>3440</v>
      </c>
      <c r="P64" s="16"/>
      <c r="Q64" s="4">
        <v>208000</v>
      </c>
    </row>
    <row r="65" spans="1:17">
      <c r="A65" s="7">
        <v>45337</v>
      </c>
      <c r="B65" s="8" t="s">
        <v>17</v>
      </c>
      <c r="C65" s="8" t="s">
        <v>18</v>
      </c>
      <c r="D65" s="8" t="s">
        <v>13</v>
      </c>
      <c r="E65" s="8">
        <v>130</v>
      </c>
      <c r="F65" s="8">
        <v>2600</v>
      </c>
      <c r="G65" s="8">
        <v>6</v>
      </c>
      <c r="H65" s="8">
        <v>20</v>
      </c>
      <c r="I65" s="10">
        <f t="shared" si="0"/>
        <v>338000</v>
      </c>
      <c r="K65" s="4">
        <v>450000</v>
      </c>
      <c r="L65" s="16"/>
      <c r="M65" s="4">
        <v>660</v>
      </c>
      <c r="N65" s="16"/>
      <c r="O65" s="4">
        <v>2670</v>
      </c>
      <c r="P65" s="16"/>
      <c r="Q65" s="4">
        <v>99000</v>
      </c>
    </row>
    <row r="66" spans="1:17">
      <c r="A66" s="7">
        <v>45338</v>
      </c>
      <c r="B66" s="8" t="s">
        <v>19</v>
      </c>
      <c r="C66" s="8" t="s">
        <v>20</v>
      </c>
      <c r="D66" s="8" t="s">
        <v>16</v>
      </c>
      <c r="E66" s="8">
        <v>190</v>
      </c>
      <c r="F66" s="8">
        <v>3800</v>
      </c>
      <c r="G66" s="8">
        <v>12</v>
      </c>
      <c r="H66" s="8">
        <v>27</v>
      </c>
      <c r="I66" s="10">
        <f t="shared" si="0"/>
        <v>722000</v>
      </c>
      <c r="K66" s="4">
        <v>648000</v>
      </c>
      <c r="L66" s="16"/>
      <c r="M66" s="4">
        <v>1008.0000000000001</v>
      </c>
      <c r="N66" s="16"/>
      <c r="O66" s="4">
        <v>3024</v>
      </c>
      <c r="P66" s="16"/>
      <c r="Q66" s="4">
        <v>181440.00000000003</v>
      </c>
    </row>
    <row r="67" spans="1:17">
      <c r="A67" s="7">
        <v>45339</v>
      </c>
      <c r="B67" s="8" t="s">
        <v>11</v>
      </c>
      <c r="C67" s="8" t="s">
        <v>12</v>
      </c>
      <c r="D67" s="8" t="s">
        <v>21</v>
      </c>
      <c r="E67" s="8">
        <v>210</v>
      </c>
      <c r="F67" s="8">
        <v>4200</v>
      </c>
      <c r="G67" s="8">
        <v>17</v>
      </c>
      <c r="H67" s="8">
        <v>25</v>
      </c>
      <c r="I67" s="10">
        <f t="shared" si="0"/>
        <v>882000</v>
      </c>
      <c r="K67" s="4">
        <v>338000</v>
      </c>
      <c r="L67" s="16"/>
      <c r="M67" s="4">
        <v>520</v>
      </c>
      <c r="N67" s="16"/>
      <c r="O67" s="4">
        <v>2444</v>
      </c>
      <c r="P67" s="16"/>
      <c r="Q67" s="4">
        <v>67600</v>
      </c>
    </row>
    <row r="68" spans="1:17">
      <c r="A68" s="7">
        <v>45340</v>
      </c>
      <c r="B68" s="8" t="s">
        <v>14</v>
      </c>
      <c r="C68" s="8" t="s">
        <v>15</v>
      </c>
      <c r="D68" s="8" t="s">
        <v>13</v>
      </c>
      <c r="E68" s="8">
        <v>160</v>
      </c>
      <c r="F68" s="8">
        <v>3200</v>
      </c>
      <c r="G68" s="8">
        <v>8</v>
      </c>
      <c r="H68" s="8">
        <v>22</v>
      </c>
      <c r="I68" s="10">
        <f t="shared" si="0"/>
        <v>512000</v>
      </c>
      <c r="K68" s="4">
        <v>722000</v>
      </c>
      <c r="L68" s="16"/>
      <c r="M68" s="4">
        <v>1026</v>
      </c>
      <c r="N68" s="16"/>
      <c r="O68" s="4">
        <v>3344</v>
      </c>
      <c r="P68" s="16"/>
      <c r="Q68" s="4">
        <v>194940</v>
      </c>
    </row>
    <row r="69" spans="1:17">
      <c r="A69" s="7">
        <v>45341</v>
      </c>
      <c r="B69" s="8" t="s">
        <v>17</v>
      </c>
      <c r="C69" s="8" t="s">
        <v>18</v>
      </c>
      <c r="D69" s="8" t="s">
        <v>16</v>
      </c>
      <c r="E69" s="8">
        <v>180</v>
      </c>
      <c r="F69" s="8">
        <v>3600</v>
      </c>
      <c r="G69" s="8">
        <v>9</v>
      </c>
      <c r="H69" s="8">
        <v>23</v>
      </c>
      <c r="I69" s="10">
        <f t="shared" si="0"/>
        <v>648000</v>
      </c>
      <c r="K69" s="4">
        <v>882000</v>
      </c>
      <c r="L69" s="16"/>
      <c r="M69" s="4">
        <v>1050</v>
      </c>
      <c r="N69" s="16"/>
      <c r="O69" s="4">
        <v>3486</v>
      </c>
      <c r="P69" s="16"/>
      <c r="Q69" s="4">
        <v>220500</v>
      </c>
    </row>
    <row r="70" spans="1:17">
      <c r="A70" s="7">
        <v>45342</v>
      </c>
      <c r="B70" s="8" t="s">
        <v>19</v>
      </c>
      <c r="C70" s="8" t="s">
        <v>20</v>
      </c>
      <c r="D70" s="8" t="s">
        <v>21</v>
      </c>
      <c r="E70" s="8">
        <v>170</v>
      </c>
      <c r="F70" s="8">
        <v>3400</v>
      </c>
      <c r="G70" s="8">
        <v>14</v>
      </c>
      <c r="H70" s="8">
        <v>26</v>
      </c>
      <c r="I70" s="10">
        <f t="shared" si="0"/>
        <v>578000</v>
      </c>
      <c r="K70" s="4">
        <v>512000</v>
      </c>
      <c r="L70" s="16"/>
      <c r="M70" s="4">
        <v>704</v>
      </c>
      <c r="N70" s="16"/>
      <c r="O70" s="4">
        <v>2944</v>
      </c>
      <c r="P70" s="16"/>
      <c r="Q70" s="4">
        <v>112640</v>
      </c>
    </row>
    <row r="71" spans="1:17">
      <c r="A71" s="7">
        <v>45343</v>
      </c>
      <c r="B71" s="8" t="s">
        <v>11</v>
      </c>
      <c r="C71" s="8" t="s">
        <v>12</v>
      </c>
      <c r="D71" s="8" t="s">
        <v>13</v>
      </c>
      <c r="E71" s="8">
        <v>150</v>
      </c>
      <c r="F71" s="8">
        <v>3000</v>
      </c>
      <c r="G71" s="8">
        <v>13</v>
      </c>
      <c r="H71" s="8">
        <v>24</v>
      </c>
      <c r="I71" s="10">
        <f t="shared" si="0"/>
        <v>450000</v>
      </c>
      <c r="K71" s="4">
        <v>648000</v>
      </c>
      <c r="L71" s="16"/>
      <c r="M71" s="4">
        <v>828</v>
      </c>
      <c r="N71" s="16"/>
      <c r="O71" s="4">
        <v>3276</v>
      </c>
      <c r="P71" s="16"/>
      <c r="Q71" s="4">
        <v>149040</v>
      </c>
    </row>
    <row r="72" spans="1:17">
      <c r="A72" s="7">
        <v>45344</v>
      </c>
      <c r="B72" s="8" t="s">
        <v>14</v>
      </c>
      <c r="C72" s="8" t="s">
        <v>15</v>
      </c>
      <c r="D72" s="8" t="s">
        <v>16</v>
      </c>
      <c r="E72" s="8">
        <v>140</v>
      </c>
      <c r="F72" s="8">
        <v>2800</v>
      </c>
      <c r="G72" s="8">
        <v>12</v>
      </c>
      <c r="H72" s="8">
        <v>23</v>
      </c>
      <c r="I72" s="10">
        <f t="shared" si="0"/>
        <v>392000</v>
      </c>
      <c r="K72" s="4">
        <v>578000</v>
      </c>
      <c r="L72" s="16"/>
      <c r="M72" s="4">
        <v>884</v>
      </c>
      <c r="N72" s="16"/>
      <c r="O72" s="4">
        <v>2924</v>
      </c>
      <c r="P72" s="16"/>
      <c r="Q72" s="4">
        <v>150280</v>
      </c>
    </row>
    <row r="73" spans="1:17">
      <c r="A73" s="7">
        <v>45345</v>
      </c>
      <c r="B73" s="8" t="s">
        <v>17</v>
      </c>
      <c r="C73" s="8" t="s">
        <v>18</v>
      </c>
      <c r="D73" s="8" t="s">
        <v>21</v>
      </c>
      <c r="E73" s="8">
        <v>200</v>
      </c>
      <c r="F73" s="8">
        <v>4000</v>
      </c>
      <c r="G73" s="8">
        <v>10</v>
      </c>
      <c r="H73" s="8">
        <v>27</v>
      </c>
      <c r="I73" s="10">
        <f t="shared" si="0"/>
        <v>800000</v>
      </c>
      <c r="K73" s="4">
        <v>450000</v>
      </c>
      <c r="L73" s="16"/>
      <c r="M73" s="4">
        <v>720</v>
      </c>
      <c r="N73" s="16"/>
      <c r="O73" s="4">
        <v>2610</v>
      </c>
      <c r="P73" s="16"/>
      <c r="Q73" s="4">
        <v>108000</v>
      </c>
    </row>
    <row r="74" spans="1:17">
      <c r="A74" s="7">
        <v>45346</v>
      </c>
      <c r="B74" s="8" t="s">
        <v>19</v>
      </c>
      <c r="C74" s="8" t="s">
        <v>20</v>
      </c>
      <c r="D74" s="8" t="s">
        <v>13</v>
      </c>
      <c r="E74" s="8">
        <v>170</v>
      </c>
      <c r="F74" s="8">
        <v>3400</v>
      </c>
      <c r="G74" s="8">
        <v>15</v>
      </c>
      <c r="H74" s="8">
        <v>28</v>
      </c>
      <c r="I74" s="10">
        <f t="shared" si="0"/>
        <v>578000</v>
      </c>
      <c r="K74" s="4">
        <v>392000</v>
      </c>
      <c r="L74" s="16"/>
      <c r="M74" s="4">
        <v>644</v>
      </c>
      <c r="N74" s="16"/>
      <c r="O74" s="4">
        <v>2464</v>
      </c>
      <c r="P74" s="16"/>
      <c r="Q74" s="4">
        <v>90160</v>
      </c>
    </row>
    <row r="75" spans="1:17">
      <c r="A75" s="7">
        <v>45347</v>
      </c>
      <c r="B75" s="8" t="s">
        <v>11</v>
      </c>
      <c r="C75" s="8" t="s">
        <v>12</v>
      </c>
      <c r="D75" s="8" t="s">
        <v>16</v>
      </c>
      <c r="E75" s="8">
        <v>120</v>
      </c>
      <c r="F75" s="8">
        <v>2400</v>
      </c>
      <c r="G75" s="8">
        <v>14</v>
      </c>
      <c r="H75" s="8">
        <v>22</v>
      </c>
      <c r="I75" s="10">
        <f t="shared" si="0"/>
        <v>288000</v>
      </c>
      <c r="K75" s="4">
        <v>800000</v>
      </c>
      <c r="L75" s="16"/>
      <c r="M75" s="4">
        <v>1080</v>
      </c>
      <c r="N75" s="16"/>
      <c r="O75" s="4">
        <v>3600</v>
      </c>
      <c r="P75" s="16"/>
      <c r="Q75" s="4">
        <v>216000</v>
      </c>
    </row>
    <row r="76" spans="1:17">
      <c r="A76" s="7">
        <v>45348</v>
      </c>
      <c r="B76" s="8" t="s">
        <v>14</v>
      </c>
      <c r="C76" s="8" t="s">
        <v>15</v>
      </c>
      <c r="D76" s="8" t="s">
        <v>21</v>
      </c>
      <c r="E76" s="8">
        <v>190</v>
      </c>
      <c r="F76" s="8">
        <v>3800</v>
      </c>
      <c r="G76" s="8">
        <v>11</v>
      </c>
      <c r="H76" s="8">
        <v>20</v>
      </c>
      <c r="I76" s="10">
        <f t="shared" si="0"/>
        <v>722000</v>
      </c>
      <c r="K76" s="4">
        <v>578000</v>
      </c>
      <c r="L76" s="16"/>
      <c r="M76" s="4">
        <v>952.00000000000011</v>
      </c>
      <c r="N76" s="16"/>
      <c r="O76" s="4">
        <v>2890</v>
      </c>
      <c r="P76" s="16"/>
      <c r="Q76" s="4">
        <v>161840.00000000003</v>
      </c>
    </row>
    <row r="77" spans="1:17">
      <c r="A77" s="7">
        <v>45349</v>
      </c>
      <c r="B77" s="8" t="s">
        <v>17</v>
      </c>
      <c r="C77" s="8" t="s">
        <v>18</v>
      </c>
      <c r="D77" s="8" t="s">
        <v>13</v>
      </c>
      <c r="E77" s="8">
        <v>140</v>
      </c>
      <c r="F77" s="8">
        <v>2800</v>
      </c>
      <c r="G77" s="8">
        <v>7</v>
      </c>
      <c r="H77" s="8">
        <v>21</v>
      </c>
      <c r="I77" s="10">
        <f t="shared" si="0"/>
        <v>392000</v>
      </c>
      <c r="K77" s="4">
        <v>288000</v>
      </c>
      <c r="L77" s="16"/>
      <c r="M77" s="4">
        <v>528</v>
      </c>
      <c r="N77" s="16"/>
      <c r="O77" s="4">
        <v>2064</v>
      </c>
      <c r="P77" s="16"/>
      <c r="Q77" s="4">
        <v>63360</v>
      </c>
    </row>
    <row r="78" spans="1:17">
      <c r="A78" s="7">
        <v>45350</v>
      </c>
      <c r="B78" s="8" t="s">
        <v>19</v>
      </c>
      <c r="C78" s="8" t="s">
        <v>20</v>
      </c>
      <c r="D78" s="8" t="s">
        <v>16</v>
      </c>
      <c r="E78" s="8">
        <v>200</v>
      </c>
      <c r="F78" s="8">
        <v>4000</v>
      </c>
      <c r="G78" s="8">
        <v>16</v>
      </c>
      <c r="H78" s="8">
        <v>29</v>
      </c>
      <c r="I78" s="10">
        <f t="shared" si="0"/>
        <v>800000</v>
      </c>
      <c r="K78" s="4">
        <v>722000</v>
      </c>
      <c r="L78" s="16"/>
      <c r="M78" s="4">
        <v>760</v>
      </c>
      <c r="N78" s="16"/>
      <c r="O78" s="4">
        <v>3382</v>
      </c>
      <c r="P78" s="16"/>
      <c r="Q78" s="4">
        <v>144400</v>
      </c>
    </row>
    <row r="79" spans="1:17">
      <c r="A79" s="7">
        <v>45351</v>
      </c>
      <c r="B79" s="8" t="s">
        <v>11</v>
      </c>
      <c r="C79" s="8" t="s">
        <v>12</v>
      </c>
      <c r="D79" s="8" t="s">
        <v>21</v>
      </c>
      <c r="E79" s="8">
        <v>160</v>
      </c>
      <c r="F79" s="8">
        <v>3200</v>
      </c>
      <c r="G79" s="8">
        <v>13</v>
      </c>
      <c r="H79" s="8">
        <v>23</v>
      </c>
      <c r="I79" s="10">
        <f t="shared" si="0"/>
        <v>512000</v>
      </c>
      <c r="K79" s="4">
        <v>392000</v>
      </c>
      <c r="L79" s="16"/>
      <c r="M79" s="4">
        <v>588</v>
      </c>
      <c r="N79" s="16"/>
      <c r="O79" s="4">
        <v>2604</v>
      </c>
      <c r="P79" s="16"/>
      <c r="Q79" s="4">
        <v>82320</v>
      </c>
    </row>
    <row r="80" spans="1:17">
      <c r="A80" s="7">
        <v>45352</v>
      </c>
      <c r="B80" s="8" t="s">
        <v>14</v>
      </c>
      <c r="C80" s="8" t="s">
        <v>15</v>
      </c>
      <c r="D80" s="8" t="s">
        <v>13</v>
      </c>
      <c r="E80" s="8">
        <v>180</v>
      </c>
      <c r="F80" s="8">
        <v>3600</v>
      </c>
      <c r="G80" s="8">
        <v>10</v>
      </c>
      <c r="H80" s="8">
        <v>24</v>
      </c>
      <c r="I80" s="10">
        <f t="shared" si="0"/>
        <v>648000</v>
      </c>
      <c r="K80" s="4">
        <v>800000</v>
      </c>
      <c r="L80" s="16"/>
      <c r="M80" s="4">
        <v>1160</v>
      </c>
      <c r="N80" s="16"/>
      <c r="O80" s="4">
        <v>3360</v>
      </c>
      <c r="P80" s="16"/>
      <c r="Q80" s="4">
        <v>231999.99999999997</v>
      </c>
    </row>
    <row r="81" spans="1:17">
      <c r="A81" s="7">
        <v>45353</v>
      </c>
      <c r="B81" s="8" t="s">
        <v>17</v>
      </c>
      <c r="C81" s="8" t="s">
        <v>18</v>
      </c>
      <c r="D81" s="8" t="s">
        <v>16</v>
      </c>
      <c r="E81" s="8">
        <v>220</v>
      </c>
      <c r="F81" s="8">
        <v>4400</v>
      </c>
      <c r="G81" s="8">
        <v>9</v>
      </c>
      <c r="H81" s="8">
        <v>25</v>
      </c>
      <c r="I81" s="10">
        <f t="shared" si="0"/>
        <v>968000</v>
      </c>
      <c r="K81" s="4">
        <v>512000</v>
      </c>
      <c r="L81" s="16"/>
      <c r="M81" s="4">
        <v>736</v>
      </c>
      <c r="N81" s="16"/>
      <c r="O81" s="4">
        <v>2784</v>
      </c>
      <c r="P81" s="16"/>
      <c r="Q81" s="4">
        <v>117760</v>
      </c>
    </row>
    <row r="82" spans="1:17">
      <c r="A82" s="7">
        <v>45354</v>
      </c>
      <c r="B82" s="8" t="s">
        <v>19</v>
      </c>
      <c r="C82" s="8" t="s">
        <v>20</v>
      </c>
      <c r="D82" s="8" t="s">
        <v>21</v>
      </c>
      <c r="E82" s="8">
        <v>230</v>
      </c>
      <c r="F82" s="8">
        <v>4600</v>
      </c>
      <c r="G82" s="8">
        <v>17</v>
      </c>
      <c r="H82" s="8">
        <v>30</v>
      </c>
      <c r="I82" s="10">
        <f t="shared" si="0"/>
        <v>1058000</v>
      </c>
      <c r="K82" s="4">
        <v>648000</v>
      </c>
      <c r="L82" s="16"/>
      <c r="M82" s="4">
        <v>864</v>
      </c>
      <c r="N82" s="16"/>
      <c r="O82" s="4">
        <v>3240</v>
      </c>
      <c r="P82" s="16"/>
      <c r="Q82" s="4">
        <v>155520</v>
      </c>
    </row>
    <row r="83" spans="1:17">
      <c r="A83" s="7">
        <v>45355</v>
      </c>
      <c r="B83" s="8" t="s">
        <v>11</v>
      </c>
      <c r="C83" s="8" t="s">
        <v>12</v>
      </c>
      <c r="D83" s="8" t="s">
        <v>13</v>
      </c>
      <c r="E83" s="8">
        <v>110</v>
      </c>
      <c r="F83" s="8">
        <v>2200</v>
      </c>
      <c r="G83" s="8">
        <v>11</v>
      </c>
      <c r="H83" s="8">
        <v>21</v>
      </c>
      <c r="I83" s="10">
        <f t="shared" si="0"/>
        <v>242000</v>
      </c>
      <c r="K83" s="4">
        <v>968000</v>
      </c>
      <c r="L83" s="16"/>
      <c r="M83" s="4">
        <v>1100</v>
      </c>
      <c r="N83" s="16"/>
      <c r="O83" s="4">
        <v>4004</v>
      </c>
      <c r="P83" s="16"/>
      <c r="Q83" s="4">
        <v>242000</v>
      </c>
    </row>
    <row r="84" spans="1:17">
      <c r="A84" s="7">
        <v>45356</v>
      </c>
      <c r="B84" s="8" t="s">
        <v>14</v>
      </c>
      <c r="C84" s="8" t="s">
        <v>15</v>
      </c>
      <c r="D84" s="8" t="s">
        <v>16</v>
      </c>
      <c r="E84" s="8">
        <v>130</v>
      </c>
      <c r="F84" s="8">
        <v>2600</v>
      </c>
      <c r="G84" s="8">
        <v>8</v>
      </c>
      <c r="H84" s="8">
        <v>22</v>
      </c>
      <c r="I84" s="10">
        <f t="shared" si="0"/>
        <v>338000</v>
      </c>
      <c r="K84" s="4">
        <v>1058000</v>
      </c>
      <c r="L84" s="16"/>
      <c r="M84" s="4">
        <v>1380</v>
      </c>
      <c r="N84" s="16"/>
      <c r="O84" s="4">
        <v>3818</v>
      </c>
      <c r="P84" s="16"/>
      <c r="Q84" s="4">
        <v>317400</v>
      </c>
    </row>
    <row r="85" spans="1:17">
      <c r="A85" s="7">
        <v>45357</v>
      </c>
      <c r="B85" s="8" t="s">
        <v>17</v>
      </c>
      <c r="C85" s="8" t="s">
        <v>18</v>
      </c>
      <c r="D85" s="8" t="s">
        <v>21</v>
      </c>
      <c r="E85" s="8">
        <v>150</v>
      </c>
      <c r="F85" s="8">
        <v>3000</v>
      </c>
      <c r="G85" s="8">
        <v>12</v>
      </c>
      <c r="H85" s="8">
        <v>26</v>
      </c>
      <c r="I85" s="10">
        <f t="shared" si="0"/>
        <v>450000</v>
      </c>
      <c r="K85" s="4">
        <v>242000</v>
      </c>
      <c r="L85" s="16"/>
      <c r="M85" s="4">
        <v>462</v>
      </c>
      <c r="N85" s="16"/>
      <c r="O85" s="4">
        <v>1958</v>
      </c>
      <c r="P85" s="16"/>
      <c r="Q85" s="4">
        <v>50820</v>
      </c>
    </row>
    <row r="86" spans="1:17">
      <c r="A86" s="7">
        <v>45358</v>
      </c>
      <c r="B86" s="8" t="s">
        <v>19</v>
      </c>
      <c r="C86" s="8" t="s">
        <v>20</v>
      </c>
      <c r="D86" s="8" t="s">
        <v>13</v>
      </c>
      <c r="E86" s="8">
        <v>140</v>
      </c>
      <c r="F86" s="8">
        <v>2800</v>
      </c>
      <c r="G86" s="8">
        <v>13</v>
      </c>
      <c r="H86" s="8">
        <v>23</v>
      </c>
      <c r="I86" s="10">
        <f t="shared" ref="I86:I110" si="1">E86*F86</f>
        <v>392000</v>
      </c>
      <c r="K86" s="4">
        <v>338000</v>
      </c>
      <c r="L86" s="16"/>
      <c r="M86" s="4">
        <v>572</v>
      </c>
      <c r="N86" s="16"/>
      <c r="O86" s="4">
        <v>2392</v>
      </c>
      <c r="P86" s="16"/>
      <c r="Q86" s="4">
        <v>74360</v>
      </c>
    </row>
    <row r="87" spans="1:17">
      <c r="A87" s="7">
        <v>45359</v>
      </c>
      <c r="B87" s="8" t="s">
        <v>11</v>
      </c>
      <c r="C87" s="8" t="s">
        <v>12</v>
      </c>
      <c r="D87" s="8" t="s">
        <v>16</v>
      </c>
      <c r="E87" s="8">
        <v>170</v>
      </c>
      <c r="F87" s="8">
        <v>3400</v>
      </c>
      <c r="G87" s="8">
        <v>14</v>
      </c>
      <c r="H87" s="8">
        <v>24</v>
      </c>
      <c r="I87" s="10">
        <f t="shared" si="1"/>
        <v>578000</v>
      </c>
      <c r="K87" s="4">
        <v>450000</v>
      </c>
      <c r="L87" s="16"/>
      <c r="M87" s="4">
        <v>780</v>
      </c>
      <c r="N87" s="16"/>
      <c r="O87" s="4">
        <v>2640</v>
      </c>
      <c r="P87" s="16"/>
      <c r="Q87" s="4">
        <v>117000</v>
      </c>
    </row>
    <row r="88" spans="1:17">
      <c r="A88" s="7">
        <v>45360</v>
      </c>
      <c r="B88" s="8" t="s">
        <v>14</v>
      </c>
      <c r="C88" s="8" t="s">
        <v>15</v>
      </c>
      <c r="D88" s="8" t="s">
        <v>21</v>
      </c>
      <c r="E88" s="8">
        <v>160</v>
      </c>
      <c r="F88" s="8">
        <v>3200</v>
      </c>
      <c r="G88" s="8">
        <v>16</v>
      </c>
      <c r="H88" s="8">
        <v>27</v>
      </c>
      <c r="I88" s="10">
        <f t="shared" si="1"/>
        <v>512000</v>
      </c>
      <c r="K88" s="4">
        <v>392000</v>
      </c>
      <c r="L88" s="16"/>
      <c r="M88" s="4">
        <v>644</v>
      </c>
      <c r="N88" s="16"/>
      <c r="O88" s="4">
        <v>2436</v>
      </c>
      <c r="P88" s="16"/>
      <c r="Q88" s="4">
        <v>90160</v>
      </c>
    </row>
    <row r="89" spans="1:17">
      <c r="A89" s="7">
        <v>45361</v>
      </c>
      <c r="B89" s="8" t="s">
        <v>17</v>
      </c>
      <c r="C89" s="8" t="s">
        <v>18</v>
      </c>
      <c r="D89" s="8" t="s">
        <v>13</v>
      </c>
      <c r="E89" s="8">
        <v>180</v>
      </c>
      <c r="F89" s="8">
        <v>3600</v>
      </c>
      <c r="G89" s="8">
        <v>10</v>
      </c>
      <c r="H89" s="8">
        <v>22</v>
      </c>
      <c r="I89" s="10">
        <f t="shared" si="1"/>
        <v>648000</v>
      </c>
      <c r="K89" s="4">
        <v>578000</v>
      </c>
      <c r="L89" s="16"/>
      <c r="M89" s="4">
        <v>816</v>
      </c>
      <c r="N89" s="16"/>
      <c r="O89" s="4">
        <v>2924</v>
      </c>
      <c r="P89" s="16"/>
      <c r="Q89" s="4">
        <v>138720</v>
      </c>
    </row>
    <row r="90" spans="1:17">
      <c r="A90" s="7">
        <v>45362</v>
      </c>
      <c r="B90" s="8" t="s">
        <v>19</v>
      </c>
      <c r="C90" s="8" t="s">
        <v>20</v>
      </c>
      <c r="D90" s="8" t="s">
        <v>16</v>
      </c>
      <c r="E90" s="8">
        <v>150</v>
      </c>
      <c r="F90" s="8">
        <v>3000</v>
      </c>
      <c r="G90" s="8">
        <v>15</v>
      </c>
      <c r="H90" s="8">
        <v>29</v>
      </c>
      <c r="I90" s="10">
        <f t="shared" si="1"/>
        <v>450000</v>
      </c>
      <c r="K90" s="4">
        <v>512000</v>
      </c>
      <c r="L90" s="16"/>
      <c r="M90" s="4">
        <v>864</v>
      </c>
      <c r="N90" s="16"/>
      <c r="O90" s="4">
        <v>2688</v>
      </c>
      <c r="P90" s="16"/>
      <c r="Q90" s="4">
        <v>138240</v>
      </c>
    </row>
    <row r="91" spans="1:17">
      <c r="A91" s="7">
        <v>45363</v>
      </c>
      <c r="B91" s="8" t="s">
        <v>11</v>
      </c>
      <c r="C91" s="8" t="s">
        <v>12</v>
      </c>
      <c r="D91" s="8" t="s">
        <v>21</v>
      </c>
      <c r="E91" s="8">
        <v>200</v>
      </c>
      <c r="F91" s="8">
        <v>4000</v>
      </c>
      <c r="G91" s="8">
        <v>12</v>
      </c>
      <c r="H91" s="8">
        <v>25</v>
      </c>
      <c r="I91" s="10">
        <f t="shared" si="1"/>
        <v>800000</v>
      </c>
      <c r="K91" s="4">
        <v>648000</v>
      </c>
      <c r="L91" s="16"/>
      <c r="M91" s="4">
        <v>792</v>
      </c>
      <c r="N91" s="16"/>
      <c r="O91" s="4">
        <v>3240</v>
      </c>
      <c r="P91" s="16"/>
      <c r="Q91" s="4">
        <v>142560</v>
      </c>
    </row>
    <row r="92" spans="1:17">
      <c r="A92" s="7">
        <v>45364</v>
      </c>
      <c r="B92" s="8" t="s">
        <v>14</v>
      </c>
      <c r="C92" s="8" t="s">
        <v>15</v>
      </c>
      <c r="D92" s="8" t="s">
        <v>13</v>
      </c>
      <c r="E92" s="8">
        <v>140</v>
      </c>
      <c r="F92" s="8">
        <v>2800</v>
      </c>
      <c r="G92" s="8">
        <v>11</v>
      </c>
      <c r="H92" s="8">
        <v>20</v>
      </c>
      <c r="I92" s="10">
        <f t="shared" si="1"/>
        <v>392000</v>
      </c>
      <c r="K92" s="4">
        <v>450000</v>
      </c>
      <c r="L92" s="16"/>
      <c r="M92" s="4">
        <v>869.99999999999989</v>
      </c>
      <c r="N92" s="16"/>
      <c r="O92" s="4">
        <v>2550</v>
      </c>
      <c r="P92" s="16"/>
      <c r="Q92" s="4">
        <v>130499.99999999999</v>
      </c>
    </row>
    <row r="93" spans="1:17">
      <c r="A93" s="7">
        <v>45365</v>
      </c>
      <c r="B93" s="8" t="s">
        <v>17</v>
      </c>
      <c r="C93" s="8" t="s">
        <v>18</v>
      </c>
      <c r="D93" s="8" t="s">
        <v>16</v>
      </c>
      <c r="E93" s="8">
        <v>160</v>
      </c>
      <c r="F93" s="8">
        <v>3200</v>
      </c>
      <c r="G93" s="8">
        <v>9</v>
      </c>
      <c r="H93" s="8">
        <v>22</v>
      </c>
      <c r="I93" s="10">
        <f t="shared" si="1"/>
        <v>512000</v>
      </c>
      <c r="K93" s="4">
        <v>800000</v>
      </c>
      <c r="L93" s="16"/>
      <c r="M93" s="4">
        <v>1000</v>
      </c>
      <c r="N93" s="16"/>
      <c r="O93" s="4">
        <v>3520</v>
      </c>
      <c r="P93" s="16"/>
      <c r="Q93" s="4">
        <v>200000</v>
      </c>
    </row>
    <row r="94" spans="1:17">
      <c r="A94" s="7">
        <v>45366</v>
      </c>
      <c r="B94" s="8" t="s">
        <v>19</v>
      </c>
      <c r="C94" s="8" t="s">
        <v>20</v>
      </c>
      <c r="D94" s="8" t="s">
        <v>21</v>
      </c>
      <c r="E94" s="8">
        <v>190</v>
      </c>
      <c r="F94" s="8">
        <v>3800</v>
      </c>
      <c r="G94" s="8">
        <v>13</v>
      </c>
      <c r="H94" s="8">
        <v>26</v>
      </c>
      <c r="I94" s="10">
        <f t="shared" si="1"/>
        <v>722000</v>
      </c>
      <c r="K94" s="4">
        <v>392000</v>
      </c>
      <c r="L94" s="16"/>
      <c r="M94" s="4">
        <v>560</v>
      </c>
      <c r="N94" s="16"/>
      <c r="O94" s="4">
        <v>2492</v>
      </c>
      <c r="P94" s="16"/>
      <c r="Q94" s="4">
        <v>78400</v>
      </c>
    </row>
    <row r="95" spans="1:17">
      <c r="A95" s="7">
        <v>45367</v>
      </c>
      <c r="B95" s="8" t="s">
        <v>11</v>
      </c>
      <c r="C95" s="8" t="s">
        <v>12</v>
      </c>
      <c r="D95" s="8" t="s">
        <v>16</v>
      </c>
      <c r="E95" s="8">
        <v>200</v>
      </c>
      <c r="F95" s="8">
        <v>4000</v>
      </c>
      <c r="G95" s="8">
        <v>16</v>
      </c>
      <c r="H95" s="8">
        <v>28</v>
      </c>
      <c r="I95" s="10">
        <f t="shared" si="1"/>
        <v>800000</v>
      </c>
      <c r="K95" s="4">
        <v>512000</v>
      </c>
      <c r="L95" s="16"/>
      <c r="M95" s="4">
        <v>704</v>
      </c>
      <c r="N95" s="16"/>
      <c r="O95" s="4">
        <v>2912</v>
      </c>
      <c r="P95" s="16"/>
      <c r="Q95" s="4">
        <v>112640</v>
      </c>
    </row>
    <row r="96" spans="1:17">
      <c r="A96" s="7">
        <v>45368</v>
      </c>
      <c r="B96" s="8" t="s">
        <v>14</v>
      </c>
      <c r="C96" s="8" t="s">
        <v>15</v>
      </c>
      <c r="D96" s="8" t="s">
        <v>21</v>
      </c>
      <c r="E96" s="8">
        <v>180</v>
      </c>
      <c r="F96" s="8">
        <v>3600</v>
      </c>
      <c r="G96" s="8">
        <v>15</v>
      </c>
      <c r="H96" s="8">
        <v>30</v>
      </c>
      <c r="I96" s="10">
        <f t="shared" si="1"/>
        <v>648000</v>
      </c>
      <c r="K96" s="4">
        <v>722000</v>
      </c>
      <c r="L96" s="16"/>
      <c r="M96" s="4">
        <v>988</v>
      </c>
      <c r="N96" s="16"/>
      <c r="O96" s="4">
        <v>3306</v>
      </c>
      <c r="P96" s="16"/>
      <c r="Q96" s="4">
        <v>187720</v>
      </c>
    </row>
    <row r="97" spans="1:17">
      <c r="A97" s="7">
        <v>45369</v>
      </c>
      <c r="B97" s="8" t="s">
        <v>17</v>
      </c>
      <c r="C97" s="8" t="s">
        <v>18</v>
      </c>
      <c r="D97" s="8" t="s">
        <v>13</v>
      </c>
      <c r="E97" s="8">
        <v>140</v>
      </c>
      <c r="F97" s="8">
        <v>2800</v>
      </c>
      <c r="G97" s="8">
        <v>6</v>
      </c>
      <c r="H97" s="8">
        <v>21</v>
      </c>
      <c r="I97" s="10">
        <f t="shared" si="1"/>
        <v>392000</v>
      </c>
      <c r="K97" s="4">
        <v>800000</v>
      </c>
      <c r="L97" s="16"/>
      <c r="M97" s="4">
        <v>1120</v>
      </c>
      <c r="N97" s="16"/>
      <c r="O97" s="4">
        <v>3360</v>
      </c>
      <c r="P97" s="16"/>
      <c r="Q97" s="4">
        <v>224000.00000000003</v>
      </c>
    </row>
    <row r="98" spans="1:17">
      <c r="A98" s="7">
        <v>45370</v>
      </c>
      <c r="B98" s="8" t="s">
        <v>19</v>
      </c>
      <c r="C98" s="8" t="s">
        <v>20</v>
      </c>
      <c r="D98" s="8" t="s">
        <v>16</v>
      </c>
      <c r="E98" s="8">
        <v>220</v>
      </c>
      <c r="F98" s="8">
        <v>4400</v>
      </c>
      <c r="G98" s="8">
        <v>18</v>
      </c>
      <c r="H98" s="8">
        <v>27</v>
      </c>
      <c r="I98" s="10">
        <f t="shared" si="1"/>
        <v>968000</v>
      </c>
      <c r="K98" s="4">
        <v>648000</v>
      </c>
      <c r="L98" s="16"/>
      <c r="M98" s="4">
        <v>1080</v>
      </c>
      <c r="N98" s="16"/>
      <c r="O98" s="4">
        <v>3060</v>
      </c>
      <c r="P98" s="16"/>
      <c r="Q98" s="4">
        <v>194400</v>
      </c>
    </row>
    <row r="99" spans="1:17">
      <c r="A99" s="7">
        <v>45371</v>
      </c>
      <c r="B99" s="8" t="s">
        <v>11</v>
      </c>
      <c r="C99" s="8" t="s">
        <v>12</v>
      </c>
      <c r="D99" s="8" t="s">
        <v>21</v>
      </c>
      <c r="E99" s="8">
        <v>150</v>
      </c>
      <c r="F99" s="8">
        <v>3000</v>
      </c>
      <c r="G99" s="8">
        <v>14</v>
      </c>
      <c r="H99" s="8">
        <v>22</v>
      </c>
      <c r="I99" s="10">
        <f t="shared" si="1"/>
        <v>450000</v>
      </c>
      <c r="K99" s="4">
        <v>392000</v>
      </c>
      <c r="L99" s="16"/>
      <c r="M99" s="4">
        <v>588</v>
      </c>
      <c r="N99" s="16"/>
      <c r="O99" s="4">
        <v>2632</v>
      </c>
      <c r="P99" s="16"/>
      <c r="Q99" s="4">
        <v>82320</v>
      </c>
    </row>
    <row r="100" spans="1:17">
      <c r="A100" s="7">
        <v>45372</v>
      </c>
      <c r="B100" s="8" t="s">
        <v>14</v>
      </c>
      <c r="C100" s="8" t="s">
        <v>15</v>
      </c>
      <c r="D100" s="8" t="s">
        <v>13</v>
      </c>
      <c r="E100" s="8">
        <v>160</v>
      </c>
      <c r="F100" s="8">
        <v>3200</v>
      </c>
      <c r="G100" s="8">
        <v>13</v>
      </c>
      <c r="H100" s="8">
        <v>24</v>
      </c>
      <c r="I100" s="10">
        <f t="shared" si="1"/>
        <v>512000</v>
      </c>
      <c r="K100" s="4">
        <v>968000</v>
      </c>
      <c r="L100" s="16"/>
      <c r="M100" s="4">
        <v>1188</v>
      </c>
      <c r="N100" s="16"/>
      <c r="O100" s="4">
        <v>3608</v>
      </c>
      <c r="P100" s="16"/>
      <c r="Q100" s="4">
        <v>261360.00000000003</v>
      </c>
    </row>
    <row r="101" spans="1:17">
      <c r="A101" s="7">
        <v>45373</v>
      </c>
      <c r="B101" s="8" t="s">
        <v>17</v>
      </c>
      <c r="C101" s="8" t="s">
        <v>18</v>
      </c>
      <c r="D101" s="8" t="s">
        <v>16</v>
      </c>
      <c r="E101" s="8">
        <v>190</v>
      </c>
      <c r="F101" s="8">
        <v>3800</v>
      </c>
      <c r="G101" s="8">
        <v>12</v>
      </c>
      <c r="H101" s="8">
        <v>23</v>
      </c>
      <c r="I101" s="10">
        <f t="shared" si="1"/>
        <v>722000</v>
      </c>
      <c r="K101" s="4">
        <v>450000</v>
      </c>
      <c r="L101" s="16"/>
      <c r="M101" s="4">
        <v>660</v>
      </c>
      <c r="N101" s="16"/>
      <c r="O101" s="4">
        <v>2580</v>
      </c>
      <c r="P101" s="16"/>
      <c r="Q101" s="4">
        <v>99000</v>
      </c>
    </row>
    <row r="102" spans="1:17">
      <c r="A102" s="7">
        <v>45374</v>
      </c>
      <c r="B102" s="8" t="s">
        <v>19</v>
      </c>
      <c r="C102" s="8" t="s">
        <v>20</v>
      </c>
      <c r="D102" s="8" t="s">
        <v>21</v>
      </c>
      <c r="E102" s="8">
        <v>210</v>
      </c>
      <c r="F102" s="8">
        <v>4200</v>
      </c>
      <c r="G102" s="8">
        <v>16</v>
      </c>
      <c r="H102" s="8">
        <v>28</v>
      </c>
      <c r="I102" s="10">
        <f t="shared" si="1"/>
        <v>882000</v>
      </c>
      <c r="K102" s="4">
        <v>512000</v>
      </c>
      <c r="L102" s="16"/>
      <c r="M102" s="4">
        <v>768</v>
      </c>
      <c r="N102" s="16"/>
      <c r="O102" s="4">
        <v>2784</v>
      </c>
      <c r="P102" s="16"/>
      <c r="Q102" s="4">
        <v>122880</v>
      </c>
    </row>
    <row r="103" spans="1:17">
      <c r="A103" s="7">
        <v>45375</v>
      </c>
      <c r="B103" s="8" t="s">
        <v>11</v>
      </c>
      <c r="C103" s="8" t="s">
        <v>12</v>
      </c>
      <c r="D103" s="8" t="s">
        <v>13</v>
      </c>
      <c r="E103" s="8">
        <v>170</v>
      </c>
      <c r="F103" s="8">
        <v>3400</v>
      </c>
      <c r="G103" s="8">
        <v>15</v>
      </c>
      <c r="H103" s="8">
        <v>25</v>
      </c>
      <c r="I103" s="10">
        <f t="shared" si="1"/>
        <v>578000</v>
      </c>
      <c r="K103" s="4">
        <v>722000</v>
      </c>
      <c r="L103" s="16"/>
      <c r="M103" s="4">
        <v>874</v>
      </c>
      <c r="N103" s="16"/>
      <c r="O103" s="4">
        <v>3344</v>
      </c>
      <c r="P103" s="16"/>
      <c r="Q103" s="4">
        <v>166060</v>
      </c>
    </row>
    <row r="104" spans="1:17">
      <c r="A104" s="7">
        <v>45376</v>
      </c>
      <c r="B104" s="8" t="s">
        <v>14</v>
      </c>
      <c r="C104" s="8" t="s">
        <v>15</v>
      </c>
      <c r="D104" s="8" t="s">
        <v>16</v>
      </c>
      <c r="E104" s="8">
        <v>140</v>
      </c>
      <c r="F104" s="8">
        <v>2800</v>
      </c>
      <c r="G104" s="8">
        <v>10</v>
      </c>
      <c r="H104" s="8">
        <v>22</v>
      </c>
      <c r="I104" s="10">
        <f t="shared" si="1"/>
        <v>392000</v>
      </c>
      <c r="K104" s="4">
        <v>882000</v>
      </c>
      <c r="L104" s="16"/>
      <c r="M104" s="4">
        <v>1176</v>
      </c>
      <c r="N104" s="16"/>
      <c r="O104" s="4">
        <v>3528</v>
      </c>
      <c r="P104" s="16"/>
      <c r="Q104" s="4">
        <v>246960.00000000003</v>
      </c>
    </row>
    <row r="105" spans="1:17">
      <c r="A105" s="7">
        <v>45377</v>
      </c>
      <c r="B105" s="8" t="s">
        <v>17</v>
      </c>
      <c r="C105" s="8" t="s">
        <v>18</v>
      </c>
      <c r="D105" s="8" t="s">
        <v>21</v>
      </c>
      <c r="E105" s="8">
        <v>220</v>
      </c>
      <c r="F105" s="8">
        <v>4400</v>
      </c>
      <c r="G105" s="8">
        <v>14</v>
      </c>
      <c r="H105" s="8">
        <v>30</v>
      </c>
      <c r="I105" s="10">
        <f t="shared" si="1"/>
        <v>968000</v>
      </c>
      <c r="K105" s="4">
        <v>578000</v>
      </c>
      <c r="L105" s="16"/>
      <c r="M105" s="4">
        <v>850</v>
      </c>
      <c r="N105" s="16"/>
      <c r="O105" s="4">
        <v>2890</v>
      </c>
      <c r="P105" s="16"/>
      <c r="Q105" s="4">
        <v>144500</v>
      </c>
    </row>
    <row r="106" spans="1:17">
      <c r="A106" s="7">
        <v>45378</v>
      </c>
      <c r="B106" s="8" t="s">
        <v>19</v>
      </c>
      <c r="C106" s="8" t="s">
        <v>20</v>
      </c>
      <c r="D106" s="8" t="s">
        <v>13</v>
      </c>
      <c r="E106" s="8">
        <v>130</v>
      </c>
      <c r="F106" s="8">
        <v>2600</v>
      </c>
      <c r="G106" s="8">
        <v>12</v>
      </c>
      <c r="H106" s="8">
        <v>23</v>
      </c>
      <c r="I106" s="10">
        <f t="shared" si="1"/>
        <v>338000</v>
      </c>
      <c r="K106" s="4">
        <v>392000</v>
      </c>
      <c r="L106" s="16"/>
      <c r="M106" s="4">
        <v>616</v>
      </c>
      <c r="N106" s="16"/>
      <c r="O106" s="4">
        <v>2520</v>
      </c>
      <c r="P106" s="16"/>
      <c r="Q106" s="4">
        <v>86240</v>
      </c>
    </row>
    <row r="107" spans="1:17">
      <c r="A107" s="7">
        <v>45379</v>
      </c>
      <c r="B107" s="8" t="s">
        <v>11</v>
      </c>
      <c r="C107" s="8" t="s">
        <v>12</v>
      </c>
      <c r="D107" s="8" t="s">
        <v>16</v>
      </c>
      <c r="E107" s="8">
        <v>150</v>
      </c>
      <c r="F107" s="8">
        <v>3000</v>
      </c>
      <c r="G107" s="8">
        <v>13</v>
      </c>
      <c r="H107" s="8">
        <v>24</v>
      </c>
      <c r="I107" s="10">
        <f t="shared" si="1"/>
        <v>450000</v>
      </c>
      <c r="K107" s="4">
        <v>968000</v>
      </c>
      <c r="L107" s="16"/>
      <c r="M107" s="4">
        <v>1320</v>
      </c>
      <c r="N107" s="16"/>
      <c r="O107" s="4">
        <v>3784</v>
      </c>
      <c r="P107" s="16"/>
      <c r="Q107" s="4">
        <v>290400</v>
      </c>
    </row>
    <row r="108" spans="1:17">
      <c r="A108" s="7">
        <v>45380</v>
      </c>
      <c r="B108" s="8" t="s">
        <v>14</v>
      </c>
      <c r="C108" s="8" t="s">
        <v>15</v>
      </c>
      <c r="D108" s="8" t="s">
        <v>21</v>
      </c>
      <c r="E108" s="8">
        <v>200</v>
      </c>
      <c r="F108" s="8">
        <v>4000</v>
      </c>
      <c r="G108" s="8">
        <v>11</v>
      </c>
      <c r="H108" s="8">
        <v>21</v>
      </c>
      <c r="I108" s="10">
        <f t="shared" si="1"/>
        <v>800000</v>
      </c>
      <c r="K108" s="4">
        <v>338000</v>
      </c>
      <c r="L108" s="16"/>
      <c r="M108" s="4">
        <v>598</v>
      </c>
      <c r="N108" s="16"/>
      <c r="O108" s="4">
        <v>2288</v>
      </c>
      <c r="P108" s="16"/>
      <c r="Q108" s="4">
        <v>77740</v>
      </c>
    </row>
    <row r="109" spans="1:17">
      <c r="A109" s="7">
        <v>45381</v>
      </c>
      <c r="B109" s="8" t="s">
        <v>17</v>
      </c>
      <c r="C109" s="8" t="s">
        <v>18</v>
      </c>
      <c r="D109" s="8" t="s">
        <v>13</v>
      </c>
      <c r="E109" s="8">
        <v>160</v>
      </c>
      <c r="F109" s="8">
        <v>3200</v>
      </c>
      <c r="G109" s="8">
        <v>8</v>
      </c>
      <c r="H109" s="8">
        <v>22</v>
      </c>
      <c r="I109" s="10">
        <f t="shared" si="1"/>
        <v>512000</v>
      </c>
      <c r="K109" s="4">
        <v>450000</v>
      </c>
      <c r="L109" s="16"/>
      <c r="M109" s="4">
        <v>720</v>
      </c>
      <c r="N109" s="16"/>
      <c r="O109" s="4">
        <v>2610</v>
      </c>
      <c r="P109" s="16"/>
      <c r="Q109" s="4">
        <v>108000</v>
      </c>
    </row>
    <row r="110" spans="1:17">
      <c r="A110" s="11">
        <v>45382</v>
      </c>
      <c r="B110" s="12" t="s">
        <v>19</v>
      </c>
      <c r="C110" s="12" t="s">
        <v>20</v>
      </c>
      <c r="D110" s="12" t="s">
        <v>16</v>
      </c>
      <c r="E110" s="12">
        <v>180</v>
      </c>
      <c r="F110" s="12">
        <v>3600</v>
      </c>
      <c r="G110" s="12">
        <v>17</v>
      </c>
      <c r="H110" s="12">
        <v>28</v>
      </c>
      <c r="I110" s="15">
        <f t="shared" si="1"/>
        <v>648000</v>
      </c>
      <c r="K110" s="4">
        <v>800000</v>
      </c>
      <c r="L110" s="16"/>
      <c r="M110" s="4">
        <v>840</v>
      </c>
      <c r="N110" s="16"/>
      <c r="O110" s="4">
        <v>3560</v>
      </c>
      <c r="P110" s="16"/>
      <c r="Q110" s="4">
        <v>168000</v>
      </c>
    </row>
    <row r="111" spans="1:17">
      <c r="K111" s="4">
        <v>512000</v>
      </c>
      <c r="L111" s="16"/>
      <c r="M111" s="4">
        <v>704</v>
      </c>
      <c r="N111" s="16"/>
      <c r="O111" s="4">
        <v>2944</v>
      </c>
      <c r="P111" s="16"/>
      <c r="Q111" s="4">
        <v>112640</v>
      </c>
    </row>
    <row r="112" spans="1:17">
      <c r="K112" s="4">
        <v>648000</v>
      </c>
      <c r="L112" s="16"/>
      <c r="M112" s="4">
        <v>1008.0000000000001</v>
      </c>
      <c r="N112" s="16"/>
      <c r="O112" s="4">
        <v>2988</v>
      </c>
      <c r="P112" s="16"/>
      <c r="Q112" s="4">
        <v>181440.00000000003</v>
      </c>
    </row>
    <row r="113" spans="1:17">
      <c r="K113" s="16"/>
      <c r="L113" s="16"/>
      <c r="M113" s="16"/>
      <c r="N113" s="16"/>
      <c r="O113" s="16"/>
      <c r="P113" s="16"/>
      <c r="Q113" s="16"/>
    </row>
    <row r="114" spans="1:17">
      <c r="A114" s="38" t="s">
        <v>22</v>
      </c>
      <c r="B114" s="38"/>
      <c r="C114" s="38"/>
      <c r="D114" s="38"/>
      <c r="E114" s="38"/>
      <c r="F114" s="38"/>
      <c r="G114" s="38"/>
      <c r="H114" s="38"/>
      <c r="I114" s="38"/>
    </row>
    <row r="115" spans="1:17">
      <c r="A115" s="38"/>
      <c r="B115" s="38"/>
      <c r="C115" s="38"/>
      <c r="D115" s="38"/>
      <c r="E115" s="38"/>
      <c r="F115" s="38"/>
      <c r="G115" s="38"/>
      <c r="H115" s="38"/>
      <c r="I115" s="38"/>
    </row>
    <row r="116" spans="1:17">
      <c r="A116" s="35" t="s">
        <v>23</v>
      </c>
      <c r="B116" s="35"/>
      <c r="C116" s="35"/>
      <c r="D116" s="35"/>
      <c r="E116" s="35"/>
      <c r="F116" s="35"/>
      <c r="G116" s="35"/>
      <c r="H116" s="35"/>
      <c r="I116" s="35"/>
    </row>
    <row r="117" spans="1:17">
      <c r="A117" s="35" t="s">
        <v>24</v>
      </c>
      <c r="B117" s="35"/>
      <c r="C117" s="35"/>
      <c r="D117" s="35"/>
      <c r="E117" s="35"/>
      <c r="F117" s="35"/>
      <c r="G117" s="35"/>
      <c r="H117" s="35"/>
      <c r="I117" s="35"/>
    </row>
    <row r="118" spans="1:17">
      <c r="A118" s="35" t="s">
        <v>25</v>
      </c>
      <c r="B118" s="35"/>
      <c r="C118" s="35"/>
      <c r="D118" s="35"/>
      <c r="E118" s="35"/>
      <c r="F118" s="35"/>
      <c r="G118" s="35"/>
      <c r="H118" s="35"/>
      <c r="I118" s="35"/>
    </row>
    <row r="119" spans="1:17">
      <c r="A119" s="14"/>
    </row>
    <row r="120" spans="1:17">
      <c r="A120" s="35" t="s">
        <v>26</v>
      </c>
      <c r="B120" s="35"/>
      <c r="C120" s="35"/>
      <c r="D120" s="35"/>
      <c r="E120" s="35"/>
      <c r="F120" s="35"/>
      <c r="G120" s="35"/>
      <c r="H120" s="35"/>
      <c r="I120" s="35"/>
    </row>
    <row r="121" spans="1:17">
      <c r="A121" s="35" t="s">
        <v>27</v>
      </c>
      <c r="B121" s="35"/>
      <c r="C121" s="35"/>
      <c r="D121" s="35"/>
      <c r="E121" s="35"/>
      <c r="F121" s="35"/>
      <c r="G121" s="35"/>
      <c r="H121" s="35"/>
      <c r="I121" s="35"/>
    </row>
    <row r="122" spans="1:17">
      <c r="A122" s="35" t="s">
        <v>28</v>
      </c>
      <c r="B122" s="35"/>
      <c r="C122" s="35"/>
      <c r="D122" s="35"/>
      <c r="E122" s="35"/>
      <c r="F122" s="35"/>
      <c r="G122" s="35"/>
      <c r="H122" s="35"/>
      <c r="I122" s="35"/>
    </row>
    <row r="123" spans="1:17">
      <c r="A123" s="14"/>
    </row>
    <row r="124" spans="1:17">
      <c r="A124" s="35" t="s">
        <v>29</v>
      </c>
      <c r="B124" s="35"/>
      <c r="C124" s="35"/>
      <c r="D124" s="35"/>
      <c r="E124" s="35"/>
      <c r="F124" s="35"/>
      <c r="G124" s="35"/>
      <c r="H124" s="35"/>
      <c r="I124" s="35"/>
    </row>
    <row r="125" spans="1:17">
      <c r="A125" s="35" t="s">
        <v>30</v>
      </c>
      <c r="B125" s="35"/>
      <c r="C125" s="35"/>
      <c r="D125" s="35"/>
      <c r="E125" s="35"/>
      <c r="F125" s="35"/>
      <c r="G125" s="35"/>
      <c r="H125" s="35"/>
      <c r="I125" s="35"/>
    </row>
    <row r="126" spans="1:17">
      <c r="A126" s="35" t="s">
        <v>31</v>
      </c>
      <c r="B126" s="35"/>
      <c r="C126" s="35"/>
      <c r="D126" s="35"/>
      <c r="E126" s="35"/>
      <c r="F126" s="35"/>
      <c r="G126" s="35"/>
      <c r="H126" s="35"/>
      <c r="I126" s="35"/>
    </row>
    <row r="127" spans="1:17">
      <c r="A127" s="14"/>
    </row>
    <row r="128" spans="1:17">
      <c r="A128" s="35" t="s">
        <v>32</v>
      </c>
      <c r="B128" s="35"/>
      <c r="C128" s="35"/>
      <c r="D128" s="35"/>
      <c r="E128" s="35"/>
      <c r="F128" s="35"/>
      <c r="G128" s="35"/>
      <c r="H128" s="35"/>
      <c r="I128" s="35"/>
    </row>
    <row r="129" spans="1:9">
      <c r="A129" s="35" t="s">
        <v>33</v>
      </c>
      <c r="B129" s="35"/>
      <c r="C129" s="35"/>
      <c r="D129" s="35"/>
      <c r="E129" s="35"/>
      <c r="F129" s="35"/>
      <c r="G129" s="35"/>
      <c r="H129" s="35"/>
      <c r="I129" s="35"/>
    </row>
    <row r="130" spans="1:9">
      <c r="A130" s="35" t="s">
        <v>34</v>
      </c>
      <c r="B130" s="35"/>
      <c r="C130" s="35"/>
      <c r="D130" s="35"/>
      <c r="E130" s="35"/>
      <c r="F130" s="35"/>
      <c r="G130" s="35"/>
      <c r="H130" s="35"/>
      <c r="I130" s="35"/>
    </row>
    <row r="131" spans="1:9">
      <c r="A131" s="14"/>
    </row>
    <row r="132" spans="1:9">
      <c r="A132" s="35" t="s">
        <v>35</v>
      </c>
      <c r="B132" s="35"/>
      <c r="C132" s="35"/>
      <c r="D132" s="35"/>
      <c r="E132" s="35"/>
      <c r="F132" s="35"/>
      <c r="G132" s="35"/>
      <c r="H132" s="35"/>
      <c r="I132" s="35"/>
    </row>
    <row r="133" spans="1:9">
      <c r="A133" s="35" t="s">
        <v>36</v>
      </c>
      <c r="B133" s="35"/>
      <c r="C133" s="35"/>
      <c r="D133" s="35"/>
      <c r="E133" s="35"/>
      <c r="F133" s="35"/>
      <c r="G133" s="35"/>
      <c r="H133" s="35"/>
      <c r="I133" s="35"/>
    </row>
    <row r="134" spans="1:9">
      <c r="A134" s="35" t="s">
        <v>37</v>
      </c>
      <c r="B134" s="35"/>
      <c r="C134" s="35"/>
      <c r="D134" s="35"/>
      <c r="E134" s="35"/>
      <c r="F134" s="35"/>
      <c r="G134" s="35"/>
      <c r="H134" s="35"/>
      <c r="I134" s="35"/>
    </row>
    <row r="135" spans="1:9">
      <c r="A135" s="14"/>
    </row>
    <row r="136" spans="1:9">
      <c r="A136" s="13" t="s">
        <v>38</v>
      </c>
    </row>
    <row r="137" spans="1:9">
      <c r="A137" s="35" t="s">
        <v>39</v>
      </c>
      <c r="B137" s="35"/>
      <c r="C137" s="35"/>
      <c r="D137" s="35"/>
      <c r="E137" s="35"/>
      <c r="F137" s="35"/>
      <c r="G137" s="35"/>
    </row>
    <row r="138" spans="1:9">
      <c r="A138" s="36" t="s">
        <v>40</v>
      </c>
      <c r="B138" s="36"/>
      <c r="C138" s="36"/>
      <c r="D138" s="36"/>
      <c r="E138" s="36"/>
      <c r="F138" s="36"/>
      <c r="G138" s="36"/>
    </row>
    <row r="139" spans="1:9">
      <c r="A139" s="14"/>
    </row>
    <row r="140" spans="1:9">
      <c r="A140" s="35" t="s">
        <v>41</v>
      </c>
      <c r="B140" s="35"/>
      <c r="C140" s="35"/>
      <c r="D140" s="35"/>
      <c r="E140" s="35"/>
      <c r="F140" s="35"/>
      <c r="G140" s="35"/>
      <c r="H140" s="35"/>
      <c r="I140" s="35"/>
    </row>
    <row r="141" spans="1:9">
      <c r="A141" s="35" t="s">
        <v>42</v>
      </c>
      <c r="B141" s="35"/>
      <c r="C141" s="35"/>
      <c r="D141" s="35"/>
      <c r="E141" s="35"/>
      <c r="F141" s="35"/>
      <c r="G141" s="35"/>
      <c r="H141" s="35"/>
      <c r="I141" s="35"/>
    </row>
    <row r="142" spans="1:9">
      <c r="A142" s="35" t="s">
        <v>43</v>
      </c>
      <c r="B142" s="35"/>
      <c r="C142" s="35"/>
      <c r="D142" s="35"/>
      <c r="E142" s="35"/>
      <c r="F142" s="35"/>
      <c r="G142" s="35"/>
      <c r="H142" s="35"/>
      <c r="I142" s="35"/>
    </row>
    <row r="143" spans="1:9">
      <c r="A143" s="14"/>
    </row>
    <row r="144" spans="1:9">
      <c r="A144" s="35" t="s">
        <v>44</v>
      </c>
      <c r="B144" s="35"/>
      <c r="C144" s="35"/>
      <c r="D144" s="35"/>
      <c r="E144" s="35"/>
      <c r="F144" s="35"/>
      <c r="G144" s="35"/>
      <c r="H144" s="35"/>
      <c r="I144" s="35"/>
    </row>
    <row r="145" spans="1:9">
      <c r="A145" s="35" t="s">
        <v>45</v>
      </c>
      <c r="B145" s="35"/>
      <c r="C145" s="35"/>
      <c r="D145" s="35"/>
      <c r="E145" s="35"/>
      <c r="F145" s="35"/>
      <c r="G145" s="35"/>
      <c r="H145" s="35"/>
      <c r="I145" s="35"/>
    </row>
    <row r="146" spans="1:9">
      <c r="A146" s="35" t="s">
        <v>46</v>
      </c>
      <c r="B146" s="35"/>
      <c r="C146" s="35"/>
      <c r="D146" s="35"/>
      <c r="E146" s="35"/>
      <c r="F146" s="35"/>
      <c r="G146" s="35"/>
      <c r="H146" s="35"/>
      <c r="I146" s="35"/>
    </row>
    <row r="148" spans="1:9">
      <c r="A148" s="39" t="s">
        <v>47</v>
      </c>
      <c r="B148" s="39"/>
      <c r="C148" s="39"/>
      <c r="D148" s="39"/>
      <c r="E148" s="39"/>
      <c r="F148" s="39"/>
      <c r="G148" s="39"/>
      <c r="H148" s="39"/>
      <c r="I148" s="39"/>
    </row>
    <row r="149" spans="1:9">
      <c r="A149" s="39"/>
      <c r="B149" s="39"/>
      <c r="C149" s="39"/>
      <c r="D149" s="39"/>
      <c r="E149" s="39"/>
      <c r="F149" s="39"/>
      <c r="G149" s="39"/>
      <c r="H149" s="39"/>
      <c r="I149" s="39"/>
    </row>
    <row r="150" spans="1:9">
      <c r="A150" s="35" t="s">
        <v>48</v>
      </c>
      <c r="B150" s="35"/>
      <c r="C150" s="35"/>
      <c r="D150" s="35"/>
      <c r="E150" s="35"/>
      <c r="F150" s="35"/>
      <c r="G150" s="35"/>
      <c r="H150" s="35"/>
      <c r="I150" s="35"/>
    </row>
    <row r="151" spans="1:9">
      <c r="A151" s="35" t="s">
        <v>49</v>
      </c>
      <c r="B151" s="35"/>
      <c r="C151" s="35"/>
      <c r="D151" s="35"/>
      <c r="E151" s="35"/>
      <c r="F151" s="35"/>
      <c r="G151" s="35"/>
      <c r="H151" s="35"/>
      <c r="I151" s="35"/>
    </row>
    <row r="152" spans="1:9">
      <c r="A152" s="35" t="s">
        <v>50</v>
      </c>
      <c r="B152" s="35"/>
      <c r="C152" s="35"/>
      <c r="D152" s="35"/>
      <c r="E152" s="35"/>
      <c r="F152" s="35"/>
      <c r="G152" s="35"/>
      <c r="H152" s="35"/>
      <c r="I152" s="35"/>
    </row>
    <row r="153" spans="1:9">
      <c r="A153" s="14"/>
    </row>
    <row r="154" spans="1:9">
      <c r="A154" s="35" t="s">
        <v>51</v>
      </c>
      <c r="B154" s="35"/>
      <c r="C154" s="35"/>
      <c r="D154" s="35"/>
      <c r="E154" s="35"/>
      <c r="F154" s="35"/>
      <c r="G154" s="35"/>
      <c r="H154" s="35"/>
      <c r="I154" s="35"/>
    </row>
    <row r="155" spans="1:9">
      <c r="A155" s="35" t="s">
        <v>52</v>
      </c>
      <c r="B155" s="35"/>
      <c r="C155" s="35"/>
      <c r="D155" s="35"/>
      <c r="E155" s="35"/>
      <c r="F155" s="35"/>
      <c r="G155" s="35"/>
      <c r="H155" s="35"/>
      <c r="I155" s="35"/>
    </row>
    <row r="156" spans="1:9">
      <c r="A156" s="35" t="s">
        <v>53</v>
      </c>
      <c r="B156" s="35"/>
      <c r="C156" s="35"/>
      <c r="D156" s="35"/>
      <c r="E156" s="35"/>
      <c r="F156" s="35"/>
      <c r="G156" s="35"/>
      <c r="H156" s="35"/>
      <c r="I156" s="35"/>
    </row>
    <row r="157" spans="1:9">
      <c r="A157" s="14"/>
    </row>
    <row r="158" spans="1:9">
      <c r="A158" s="35" t="s">
        <v>54</v>
      </c>
      <c r="B158" s="35"/>
      <c r="C158" s="35"/>
      <c r="D158" s="35"/>
      <c r="E158" s="35"/>
      <c r="F158" s="35"/>
      <c r="G158" s="35"/>
      <c r="H158" s="35"/>
      <c r="I158" s="35"/>
    </row>
    <row r="159" spans="1:9">
      <c r="A159" s="35" t="s">
        <v>55</v>
      </c>
      <c r="B159" s="35"/>
      <c r="C159" s="35"/>
      <c r="D159" s="35"/>
      <c r="E159" s="35"/>
      <c r="F159" s="35"/>
      <c r="G159" s="35"/>
      <c r="H159" s="35"/>
      <c r="I159" s="35"/>
    </row>
    <row r="160" spans="1:9">
      <c r="A160" s="35" t="s">
        <v>56</v>
      </c>
      <c r="B160" s="35"/>
      <c r="C160" s="35"/>
      <c r="D160" s="35"/>
      <c r="E160" s="35"/>
      <c r="F160" s="35"/>
      <c r="G160" s="35"/>
      <c r="H160" s="35"/>
      <c r="I160" s="35"/>
    </row>
    <row r="161" spans="1:9">
      <c r="A161" s="14"/>
    </row>
    <row r="162" spans="1:9">
      <c r="A162" s="35" t="s">
        <v>57</v>
      </c>
      <c r="B162" s="35"/>
      <c r="C162" s="35"/>
      <c r="D162" s="35"/>
      <c r="E162" s="35"/>
      <c r="F162" s="35"/>
      <c r="G162" s="35"/>
      <c r="H162" s="35"/>
      <c r="I162" s="35"/>
    </row>
    <row r="163" spans="1:9">
      <c r="A163" s="35" t="s">
        <v>58</v>
      </c>
      <c r="B163" s="35"/>
      <c r="C163" s="35"/>
      <c r="D163" s="35"/>
      <c r="E163" s="35"/>
      <c r="F163" s="35"/>
      <c r="G163" s="35"/>
      <c r="H163" s="35"/>
      <c r="I163" s="35"/>
    </row>
    <row r="164" spans="1:9">
      <c r="A164" s="35" t="s">
        <v>59</v>
      </c>
      <c r="B164" s="35"/>
      <c r="C164" s="35"/>
      <c r="D164" s="35"/>
      <c r="E164" s="35"/>
      <c r="F164" s="35"/>
      <c r="G164" s="35"/>
      <c r="H164" s="35"/>
      <c r="I164" s="35"/>
    </row>
    <row r="166" spans="1:9">
      <c r="A166" s="35" t="s">
        <v>60</v>
      </c>
      <c r="B166" s="35"/>
      <c r="C166" s="35"/>
      <c r="D166" s="35"/>
      <c r="E166" s="35"/>
      <c r="F166" s="35"/>
      <c r="G166" s="35"/>
      <c r="H166" s="35"/>
      <c r="I166" s="35"/>
    </row>
    <row r="167" spans="1:9">
      <c r="A167" s="14"/>
    </row>
    <row r="168" spans="1:9">
      <c r="A168" s="37" t="s">
        <v>61</v>
      </c>
      <c r="B168" s="37"/>
      <c r="C168" s="37"/>
      <c r="D168" s="37"/>
      <c r="E168" s="37"/>
      <c r="F168" s="37"/>
      <c r="G168" s="37"/>
      <c r="H168" s="37"/>
      <c r="I168" s="37"/>
    </row>
    <row r="169" spans="1:9">
      <c r="A169" s="14"/>
    </row>
    <row r="170" spans="1:9">
      <c r="A170" s="37" t="s">
        <v>62</v>
      </c>
      <c r="B170" s="37"/>
      <c r="C170" s="37"/>
      <c r="D170" s="37"/>
      <c r="E170" s="37"/>
      <c r="F170" s="37"/>
      <c r="G170" s="37"/>
      <c r="H170" s="37"/>
      <c r="I170" s="37"/>
    </row>
    <row r="171" spans="1:9">
      <c r="A171" s="14"/>
    </row>
    <row r="172" spans="1:9">
      <c r="A172" s="37" t="s">
        <v>63</v>
      </c>
      <c r="B172" s="37"/>
      <c r="C172" s="37"/>
      <c r="D172" s="37"/>
      <c r="E172" s="37"/>
      <c r="F172" s="37"/>
      <c r="G172" s="37"/>
      <c r="H172" s="37"/>
      <c r="I172" s="37"/>
    </row>
    <row r="173" spans="1:9">
      <c r="A173" s="14"/>
    </row>
    <row r="174" spans="1:9">
      <c r="A174" s="37" t="s">
        <v>64</v>
      </c>
      <c r="B174" s="37"/>
      <c r="C174" s="37"/>
      <c r="D174" s="37"/>
      <c r="E174" s="37"/>
      <c r="F174" s="37"/>
      <c r="G174" s="37"/>
      <c r="H174" s="37"/>
      <c r="I174" s="37"/>
    </row>
  </sheetData>
  <mergeCells count="44">
    <mergeCell ref="A172:I172"/>
    <mergeCell ref="A174:I174"/>
    <mergeCell ref="A114:I115"/>
    <mergeCell ref="A148:I149"/>
    <mergeCell ref="A163:I163"/>
    <mergeCell ref="A164:I164"/>
    <mergeCell ref="A166:I166"/>
    <mergeCell ref="A168:I168"/>
    <mergeCell ref="A170:I170"/>
    <mergeCell ref="A156:I156"/>
    <mergeCell ref="A158:I158"/>
    <mergeCell ref="A159:I159"/>
    <mergeCell ref="A160:I160"/>
    <mergeCell ref="A162:I162"/>
    <mergeCell ref="A150:I150"/>
    <mergeCell ref="A151:I151"/>
    <mergeCell ref="A152:I152"/>
    <mergeCell ref="A154:I154"/>
    <mergeCell ref="A155:I155"/>
    <mergeCell ref="A141:I141"/>
    <mergeCell ref="A142:I142"/>
    <mergeCell ref="A144:I144"/>
    <mergeCell ref="A145:I145"/>
    <mergeCell ref="A146:I146"/>
    <mergeCell ref="A133:I133"/>
    <mergeCell ref="A134:I134"/>
    <mergeCell ref="A137:G137"/>
    <mergeCell ref="A138:G138"/>
    <mergeCell ref="A140:I140"/>
    <mergeCell ref="A126:I126"/>
    <mergeCell ref="A128:I128"/>
    <mergeCell ref="A129:I129"/>
    <mergeCell ref="A130:I130"/>
    <mergeCell ref="A132:I132"/>
    <mergeCell ref="A120:I120"/>
    <mergeCell ref="A121:I121"/>
    <mergeCell ref="A122:I122"/>
    <mergeCell ref="A124:I124"/>
    <mergeCell ref="A125:I125"/>
    <mergeCell ref="A1:G1"/>
    <mergeCell ref="H1:J1"/>
    <mergeCell ref="A116:I116"/>
    <mergeCell ref="A117:I117"/>
    <mergeCell ref="A118:I118"/>
  </mergeCells>
  <pageMargins left="0.25" right="0.25" top="0.75" bottom="0.75" header="0.3" footer="0.3"/>
  <pageSetup paperSize="8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</dc:creator>
  <cp:lastModifiedBy>19121A04N2-VANDANA UPPALA</cp:lastModifiedBy>
  <cp:lastPrinted>2024-11-04T08:13:00Z</cp:lastPrinted>
  <dcterms:created xsi:type="dcterms:W3CDTF">2015-06-05T18:17:00Z</dcterms:created>
  <dcterms:modified xsi:type="dcterms:W3CDTF">2026-02-06T06:50:30Z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9197A1DDA5824A968ED0E445D8E22D87_12</vt:lpwstr>
  </property>
  <property fmtid="{D5CDD505-2E9C-101B-9397-08002B2CF9AE}" pid="3" name="KSOProductBuildVer">
    <vt:lpwstr>1033-12.2.0.23155</vt:lpwstr>
  </property>
</Properties>
</file>